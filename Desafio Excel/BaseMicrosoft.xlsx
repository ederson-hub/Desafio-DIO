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Ederson\Downloads\"/>
    </mc:Choice>
  </mc:AlternateContent>
  <xr:revisionPtr revIDLastSave="0" documentId="13_ncr:1_{724CDA3C-58E9-4793-8C34-B06448448DB3}" xr6:coauthVersionLast="47" xr6:coauthVersionMax="47" xr10:uidLastSave="{00000000-0000-0000-0000-000000000000}"/>
  <bookViews>
    <workbookView xWindow="-120" yWindow="-120" windowWidth="20730" windowHeight="11040" firstSheet="4" activeTab="4" xr2:uid="{28DD5B76-0634-4F87-BE60-8BFA7EF2E23B}"/>
  </bookViews>
  <sheets>
    <sheet name="A̳ssets" sheetId="1" state="hidden" r:id="rId1"/>
    <sheet name="B̳ases" sheetId="2" state="hidden" r:id="rId2"/>
    <sheet name="Detalhes1" sheetId="5" state="hidden" r:id="rId3"/>
    <sheet name="C̳álculos" sheetId="3" state="hidden" r:id="rId4"/>
    <sheet name="D̳ashboard" sheetId="4" r:id="rId5"/>
  </sheets>
  <definedNames>
    <definedName name="SegmentaçãodeDados_Subscription_Type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  <c r="B24" i="3"/>
</calcChain>
</file>

<file path=xl/sharedStrings.xml><?xml version="1.0" encoding="utf-8"?>
<sst xmlns="http://schemas.openxmlformats.org/spreadsheetml/2006/main" count="2236" uniqueCount="327">
  <si>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</si>
  <si>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</si>
  <si>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</si>
  <si>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</si>
  <si>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</si>
  <si>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</si>
  <si>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</si>
  <si>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</si>
  <si>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</si>
  <si>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</si>
  <si>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</si>
  <si>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</si>
  <si>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</si>
  <si>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</si>
  <si>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</si>
  <si>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</si>
  <si>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</si>
  <si>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</si>
  <si>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</si>
  <si>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</si>
  <si>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</si>
  <si>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</si>
  <si>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</si>
  <si>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</si>
  <si>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</si>
  <si>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</si>
  <si>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</si>
  <si>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</si>
  <si>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</si>
  <si>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</si>
  <si>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</si>
  <si>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</si>
  <si>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</si>
  <si>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</si>
  <si>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</si>
  <si>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</si>
  <si>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</si>
  <si>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</si>
  <si>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</si>
  <si>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</si>
  <si>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</si>
  <si>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</si>
  <si>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</si>
  <si>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</si>
  <si>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</si>
  <si>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</si>
  <si>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</si>
  <si>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</si>
  <si>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</si>
  <si>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</si>
  <si>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</si>
  <si>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</si>
  <si>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</si>
  <si>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</si>
  <si>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</si>
  <si>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</si>
  <si>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</si>
  <si>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</si>
  <si>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</si>
  <si>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</si>
  <si>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</si>
  <si>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</si>
  <si>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</si>
  <si>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</si>
  <si>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</si>
  <si>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</si>
  <si>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</si>
  <si>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</si>
  <si>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</si>
  <si>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</si>
  <si>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</si>
  <si>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</si>
  <si>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</si>
  <si>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</si>
  <si>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</si>
  <si>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</si>
  <si>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</si>
  <si>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</si>
  <si>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</si>
  <si>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</si>
  <si>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</si>
  <si>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</si>
  <si>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</si>
  <si>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</si>
  <si>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</si>
  <si>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</si>
  <si>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</si>
  <si>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</si>
  <si>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</si>
  <si>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</si>
  <si>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</si>
  <si>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</si>
  <si>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</si>
  <si>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</si>
  <si>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</si>
  <si>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</si>
  <si>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</si>
  <si>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</si>
  <si>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</si>
  <si>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</si>
  <si>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</si>
  <si>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</si>
  <si>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</si>
  <si>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</si>
  <si>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</si>
  <si>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</si>
  <si>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</si>
  <si>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</si>
  <si>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</si>
  <si>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</si>
  <si>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</si>
  <si>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</si>
  <si>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</si>
  <si>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</si>
  <si>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</si>
  <si>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</si>
  <si>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</si>
  <si>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</si>
  <si>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</si>
  <si>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</si>
  <si>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</si>
  <si>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</si>
  <si>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</si>
  <si>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</si>
  <si>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</si>
  <si>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</si>
  <si>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</si>
  <si>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</si>
  <si>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</si>
  <si>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</si>
  <si>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</si>
  <si>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</si>
  <si>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</si>
  <si>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</si>
  <si>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</si>
  <si>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</si>
  <si>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</si>
  <si>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</si>
  <si>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</si>
  <si>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</si>
  <si>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</si>
  <si>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</si>
  <si>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</si>
  <si>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</si>
  <si>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</si>
  <si>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</si>
  <si>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</si>
  <si>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</si>
  <si>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</si>
  <si>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</si>
  <si>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</si>
  <si>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</si>
  <si>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</si>
  <si>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</si>
  <si>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</si>
  <si>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</si>
  <si>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</si>
  <si>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</si>
  <si>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</si>
  <si>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</si>
  <si>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</si>
  <si>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</si>
  <si>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</si>
  <si>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</si>
  <si>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</si>
  <si>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</si>
  <si>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</si>
  <si>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</si>
  <si>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</si>
  <si>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</si>
  <si>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</si>
  <si>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</si>
  <si>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</si>
  <si>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</si>
  <si>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</si>
  <si>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</si>
  <si>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</si>
  <si>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</si>
  <si>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</si>
  <si>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</si>
  <si>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</si>
  <si>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</si>
  <si>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</si>
  <si>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</si>
  <si>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</si>
  <si>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</si>
  <si>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</si>
  <si>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</si>
  <si>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</si>
  <si>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</si>
  <si>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</si>
  <si>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</si>
  <si>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</si>
  <si>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</si>
  <si>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</si>
  <si>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</si>
  <si>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</si>
  <si>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</si>
  <si>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</si>
  <si>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</si>
  <si>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</si>
  <si>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</si>
  <si>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</si>
  <si>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</si>
  <si>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</si>
  <si>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</si>
  <si>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</si>
  <si>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</si>
  <si>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</si>
  <si>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</si>
  <si>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</si>
  <si>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</si>
  <si>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</si>
  <si>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</si>
  <si>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</si>
  <si>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</si>
  <si>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</si>
  <si>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</si>
  <si>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</si>
  <si>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</si>
  <si>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</si>
  <si>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</si>
  <si>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</si>
  <si>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</si>
  <si>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</si>
  <si>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</si>
  <si>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</si>
  <si>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</si>
  <si>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</si>
  <si>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</si>
  <si>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</si>
  <si>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</si>
  <si>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</si>
  <si>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</si>
  <si>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</si>
  <si>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</si>
  <si>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</si>
  <si>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</si>
  <si>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</si>
  <si>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</si>
  <si>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</si>
  <si>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</si>
  <si>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</si>
  <si>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</si>
  <si>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</si>
  <si>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</si>
  <si>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</si>
  <si>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</si>
  <si>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</si>
  <si>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</si>
  <si>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</si>
  <si>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</si>
  <si>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</si>
  <si>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</si>
  <si>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</si>
  <si>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</si>
  <si>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</si>
  <si>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</si>
  <si>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</si>
  <si>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</si>
  <si>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</si>
  <si>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</si>
  <si>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</si>
  <si>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</si>
  <si>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</si>
  <si>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</si>
  <si>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</si>
  <si>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</si>
  <si>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</si>
  <si>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</si>
  <si>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</si>
  <si>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</si>
  <si>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</si>
  <si>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</si>
  <si>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</si>
  <si>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</si>
  <si>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</si>
  <si>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</si>
  <si>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</si>
  <si>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</si>
  <si>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</si>
  <si>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</si>
  <si>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</si>
  <si>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</si>
  <si>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</si>
  <si>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</si>
  <si>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</si>
  <si>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</si>
  <si>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</si>
  <si>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</si>
  <si>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</si>
  <si>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</si>
  <si>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</si>
  <si>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</si>
  <si>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</si>
  <si>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</si>
  <si>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</si>
  <si>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</si>
  <si>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</si>
  <si>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</si>
  <si>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</si>
  <si>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</si>
  <si>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</si>
  <si>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</si>
  <si>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</si>
  <si>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</si>
  <si>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</si>
  <si>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</si>
  <si>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</si>
  <si>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</si>
  <si>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</si>
  <si>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</si>
  <si>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</si>
  <si>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Total Geral</t>
  </si>
  <si>
    <t>Rótulos de Linha</t>
  </si>
  <si>
    <t>Soma de Total Value</t>
  </si>
  <si>
    <t>Pergunta de Negócio 2 - Qual o faturamento de vendas por plano anual, separado por auto renovação ou não auto renovação</t>
  </si>
  <si>
    <t>Pergunta de Negócio 1 - Qual o faturamento Total de vendas por plano anual ( contendo todas as assinaturas agregado )</t>
  </si>
  <si>
    <t>Análise de Dados é : Uma pergunta de negócio respondida através da análise de dado especifico.</t>
  </si>
  <si>
    <t>XBOX GAME PASS SUBSCRIPTIONS SALES</t>
  </si>
  <si>
    <t>Pergunta de Negócio 3 - Total de Vendas de assinaturas do EA Play</t>
  </si>
  <si>
    <t>Soma de EA Play Season Pass</t>
  </si>
  <si>
    <t>Pergunta de Negócio 4 - Total de Vendas de Assinatura do Minecraft Season Pass</t>
  </si>
  <si>
    <t>Detalhes do Soma de EA Play Season Pass - Plan: Ultimate, Subscription Type: Quarterly</t>
  </si>
  <si>
    <t>Soma de Minecraft Season Pass Price</t>
  </si>
  <si>
    <t xml:space="preserve">Perído Apuração : </t>
  </si>
  <si>
    <t>2024/01/01 | 2024/12/31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</si>
</sst>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3"/>
      <color rgb="FF22C55E"/>
      <name val="Aptos Narrow"/>
      <family val="2"/>
      <scheme val="minor"/>
    </font>
    <font>
      <b/>
      <sz val="36"/>
      <color rgb="FF22C55E"/>
      <name val="Aptos Narrow"/>
      <family val="2"/>
      <scheme val="minor"/>
    </font>
    <font>
      <sz val="11"/>
      <color theme="1" tint="0.499984740745262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0" borderId="2" applyNumberFormat="0" applyFill="0" applyAlignment="0" applyProtection="0"/>
  </cellStyleXfs>
  <cellXfs count="24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8" borderId="0" xfId="0" applyFill="1"/>
    <xf numFmtId="44" fontId="0" fillId="0" borderId="0" xfId="2" applyFont="1"/>
    <xf numFmtId="14" fontId="0" fillId="0" borderId="0" xfId="0" applyNumberFormat="1"/>
    <xf numFmtId="0" fontId="3" fillId="0" borderId="0" xfId="0" applyFont="1"/>
    <xf numFmtId="0" fontId="0" fillId="0" borderId="0" xfId="0" applyNumberFormat="1"/>
    <xf numFmtId="0" fontId="5" fillId="0" borderId="3" xfId="3" applyFont="1" applyBorder="1" applyAlignment="1">
      <alignment horizontal="center" vertical="center"/>
    </xf>
    <xf numFmtId="0" fontId="5" fillId="0" borderId="0" xfId="3" applyFont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0" fontId="7" fillId="5" borderId="0" xfId="0" applyFont="1" applyFill="1"/>
  </cellXfs>
  <cellStyles count="4">
    <cellStyle name="Moeda" xfId="2" builtinId="4"/>
    <cellStyle name="Normal" xfId="0" builtinId="0"/>
    <cellStyle name="Título 1" xfId="1" builtinId="16"/>
    <cellStyle name="Título 2" xfId="3" builtinId="17"/>
  </cellStyles>
  <dxfs count="17">
    <dxf>
      <numFmt numFmtId="19" formatCode="dd/mm/yyyy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 patternType="solid">
          <fgColor auto="1"/>
          <bgColor rgb="FF2AE6B1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C3C4A4D1-F194-4AFE-AB64-18A69C63B935}">
      <tableStyleElement type="wholeTable" dxfId="16"/>
      <tableStyleElement type="headerRow" dxfId="15"/>
    </tableStyle>
  </tableStyles>
  <colors>
    <mruColors>
      <color rgb="FF22C55E"/>
      <color rgb="FF2AE6B1"/>
      <color rgb="FF5BF6A8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[BaseDio.xlsx]C̳álculos!tb_annual_total</c:name>
    <c:fmtId val="9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cat>
            <c:strRef>
              <c:f>C̳álculos!$A$12:$A$14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C̳álculos!$B$12:$B$14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9F-4384-8BB8-D3E81065D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36877215"/>
        <c:axId val="836876735"/>
      </c:barChart>
      <c:catAx>
        <c:axId val="836877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36876735"/>
        <c:crosses val="autoZero"/>
        <c:auto val="1"/>
        <c:lblAlgn val="ctr"/>
        <c:lblOffset val="100"/>
        <c:noMultiLvlLbl val="0"/>
      </c:catAx>
      <c:valAx>
        <c:axId val="836876735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36877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6.png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13</xdr:row>
      <xdr:rowOff>0</xdr:rowOff>
    </xdr:from>
    <xdr:to>
      <xdr:col>11</xdr:col>
      <xdr:colOff>304800</xdr:colOff>
      <xdr:row>14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304800</xdr:colOff>
      <xdr:row>14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214313</xdr:colOff>
      <xdr:row>1</xdr:row>
      <xdr:rowOff>130970</xdr:rowOff>
    </xdr:from>
    <xdr:to>
      <xdr:col>3</xdr:col>
      <xdr:colOff>154781</xdr:colOff>
      <xdr:row>2</xdr:row>
      <xdr:rowOff>152211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56003C4-9488-4C5A-B4D6-405704C7B2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-12892" r="63502"/>
        <a:stretch>
          <a:fillRect/>
        </a:stretch>
      </xdr:blipFill>
      <xdr:spPr>
        <a:xfrm>
          <a:off x="2274094" y="321470"/>
          <a:ext cx="547687" cy="521304"/>
        </a:xfrm>
        <a:prstGeom prst="rect">
          <a:avLst/>
        </a:prstGeom>
      </xdr:spPr>
    </xdr:pic>
    <xdr:clientData/>
  </xdr:twoCellAnchor>
  <xdr:twoCellAnchor>
    <xdr:from>
      <xdr:col>2</xdr:col>
      <xdr:colOff>119061</xdr:colOff>
      <xdr:row>13</xdr:row>
      <xdr:rowOff>166689</xdr:rowOff>
    </xdr:from>
    <xdr:to>
      <xdr:col>20</xdr:col>
      <xdr:colOff>392906</xdr:colOff>
      <xdr:row>33</xdr:row>
      <xdr:rowOff>76196</xdr:rowOff>
    </xdr:to>
    <xdr:grpSp>
      <xdr:nvGrpSpPr>
        <xdr:cNvPr id="35" name="Agrupar 34">
          <a:extLst>
            <a:ext uri="{FF2B5EF4-FFF2-40B4-BE49-F238E27FC236}">
              <a16:creationId xmlns:a16="http://schemas.microsoft.com/office/drawing/2014/main" id="{2950275F-BCEF-EEBA-E1F0-5DE9B00FAC0B}"/>
            </a:ext>
          </a:extLst>
        </xdr:cNvPr>
        <xdr:cNvGrpSpPr/>
      </xdr:nvGrpSpPr>
      <xdr:grpSpPr>
        <a:xfrm>
          <a:off x="2178842" y="3178970"/>
          <a:ext cx="11037095" cy="3719507"/>
          <a:chOff x="2178842" y="4119558"/>
          <a:chExt cx="11037095" cy="2778919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0A296AA1-8FF7-0A03-6827-D10C6913083C}"/>
              </a:ext>
            </a:extLst>
          </xdr:cNvPr>
          <xdr:cNvSpPr/>
        </xdr:nvSpPr>
        <xdr:spPr>
          <a:xfrm>
            <a:off x="2178842" y="3178970"/>
            <a:ext cx="11037095" cy="3702838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36C1F15E-AC9D-4E74-B240-7CC110223E2B}"/>
              </a:ext>
            </a:extLst>
          </xdr:cNvPr>
          <xdr:cNvGraphicFramePr>
            <a:graphicFrameLocks/>
          </xdr:cNvGraphicFramePr>
        </xdr:nvGraphicFramePr>
        <xdr:xfrm>
          <a:off x="3104373" y="4155277"/>
          <a:ext cx="9502791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oneCell">
    <xdr:from>
      <xdr:col>0</xdr:col>
      <xdr:colOff>0</xdr:colOff>
      <xdr:row>6</xdr:row>
      <xdr:rowOff>69056</xdr:rowOff>
    </xdr:from>
    <xdr:to>
      <xdr:col>0</xdr:col>
      <xdr:colOff>1774031</xdr:colOff>
      <xdr:row>20</xdr:row>
      <xdr:rowOff>71437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5C3605D8-75F6-4418-9901-F59FFC251F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593056"/>
              <a:ext cx="1774031" cy="282416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130969</xdr:colOff>
      <xdr:row>6</xdr:row>
      <xdr:rowOff>23812</xdr:rowOff>
    </xdr:from>
    <xdr:to>
      <xdr:col>11</xdr:col>
      <xdr:colOff>95250</xdr:colOff>
      <xdr:row>12</xdr:row>
      <xdr:rowOff>178595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8BB5DE83-E575-3A19-5FAC-0DDA296537F8}"/>
            </a:ext>
          </a:extLst>
        </xdr:cNvPr>
        <xdr:cNvGrpSpPr/>
      </xdr:nvGrpSpPr>
      <xdr:grpSpPr>
        <a:xfrm>
          <a:off x="2190750" y="1547812"/>
          <a:ext cx="5429250" cy="1452564"/>
          <a:chOff x="2190750" y="1547812"/>
          <a:chExt cx="5429250" cy="1452564"/>
        </a:xfrm>
      </xdr:grpSpPr>
      <xdr:sp macro="" textlink="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653A9007-C4D2-6585-DCBE-E3F7A3D48B00}"/>
              </a:ext>
            </a:extLst>
          </xdr:cNvPr>
          <xdr:cNvSpPr/>
        </xdr:nvSpPr>
        <xdr:spPr>
          <a:xfrm>
            <a:off x="2190750" y="1928813"/>
            <a:ext cx="5429250" cy="1071563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B24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82AB2B1A-1306-4940-9FE2-A35BD9917898}"/>
              </a:ext>
            </a:extLst>
          </xdr:cNvPr>
          <xdr:cNvSpPr/>
        </xdr:nvSpPr>
        <xdr:spPr>
          <a:xfrm>
            <a:off x="3830218" y="1785937"/>
            <a:ext cx="3670980" cy="1214439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6AC7FA6E-83FF-476D-B438-AB9219EFFFB0}" type="TxLink">
              <a:rPr lang="en-US" sz="4000" b="1" i="0" u="none" strike="noStrike">
                <a:solidFill>
                  <a:srgbClr val="22C55E"/>
                </a:solidFill>
                <a:latin typeface="Aptos Narrow"/>
              </a:rPr>
              <a:pPr algn="ctr"/>
              <a:t> R$ 990,00 </a:t>
            </a:fld>
            <a:endParaRPr lang="pt-BR" sz="4000" b="1">
              <a:solidFill>
                <a:srgbClr val="22C55E"/>
              </a:solidFill>
            </a:endParaRPr>
          </a:p>
        </xdr:txBody>
      </xdr:sp>
      <xdr:pic>
        <xdr:nvPicPr>
          <xdr:cNvPr id="8" name="Imagem 7">
            <a:extLst>
              <a:ext uri="{FF2B5EF4-FFF2-40B4-BE49-F238E27FC236}">
                <a16:creationId xmlns:a16="http://schemas.microsoft.com/office/drawing/2014/main" id="{7A876562-3384-44A5-825B-61A779D79FB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90750" y="1781176"/>
            <a:ext cx="1216532" cy="1219200"/>
          </a:xfrm>
          <a:prstGeom prst="rect">
            <a:avLst/>
          </a:prstGeom>
        </xdr:spPr>
      </xdr:pic>
      <xdr:sp macro="" textlink="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C6AD634F-F06C-5C90-E9C6-4160621F43F5}"/>
              </a:ext>
            </a:extLst>
          </xdr:cNvPr>
          <xdr:cNvSpPr/>
        </xdr:nvSpPr>
        <xdr:spPr>
          <a:xfrm>
            <a:off x="2202656" y="1547812"/>
            <a:ext cx="5405437" cy="607219"/>
          </a:xfrm>
          <a:prstGeom prst="roundRect">
            <a:avLst/>
          </a:prstGeom>
          <a:solidFill>
            <a:srgbClr val="2AE6B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2000" b="1">
                <a:solidFill>
                  <a:schemeClr val="bg1"/>
                </a:solidFill>
              </a:rPr>
              <a:t>TOTAL SUBSCRIPTION EA PLAY SEASON PASS</a:t>
            </a:r>
          </a:p>
        </xdr:txBody>
      </xdr:sp>
    </xdr:grpSp>
    <xdr:clientData/>
  </xdr:twoCellAnchor>
  <xdr:twoCellAnchor>
    <xdr:from>
      <xdr:col>11</xdr:col>
      <xdr:colOff>223837</xdr:colOff>
      <xdr:row>6</xdr:row>
      <xdr:rowOff>33337</xdr:rowOff>
    </xdr:from>
    <xdr:to>
      <xdr:col>20</xdr:col>
      <xdr:colOff>354806</xdr:colOff>
      <xdr:row>12</xdr:row>
      <xdr:rowOff>188120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43716439-95EC-419C-8EB6-37D2795306B5}"/>
            </a:ext>
          </a:extLst>
        </xdr:cNvPr>
        <xdr:cNvGrpSpPr/>
      </xdr:nvGrpSpPr>
      <xdr:grpSpPr>
        <a:xfrm>
          <a:off x="7748587" y="1557337"/>
          <a:ext cx="5429250" cy="1452564"/>
          <a:chOff x="2190750" y="1547812"/>
          <a:chExt cx="5429250" cy="1452564"/>
        </a:xfrm>
      </xdr:grpSpPr>
      <xdr:sp macro="" textlink="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D0A2A53A-1B2A-6729-65AA-25E5126BC3C7}"/>
              </a:ext>
            </a:extLst>
          </xdr:cNvPr>
          <xdr:cNvSpPr/>
        </xdr:nvSpPr>
        <xdr:spPr>
          <a:xfrm>
            <a:off x="2190750" y="1928813"/>
            <a:ext cx="5429250" cy="1071563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B34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49464FE2-3038-1BB2-75C4-2D47EDDC7AC5}"/>
              </a:ext>
            </a:extLst>
          </xdr:cNvPr>
          <xdr:cNvSpPr/>
        </xdr:nvSpPr>
        <xdr:spPr>
          <a:xfrm>
            <a:off x="3830218" y="1785937"/>
            <a:ext cx="3670980" cy="1214439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567111CC-48D5-4142-8A95-049A3C0EDFE9}" type="TxLink">
              <a:rPr lang="en-US" sz="4000" b="1" i="0" u="none" strike="noStrike">
                <a:solidFill>
                  <a:srgbClr val="22C55E"/>
                </a:solidFill>
                <a:latin typeface="Aptos Narrow"/>
              </a:rPr>
              <a:t> R$ 1.140,00 </a:t>
            </a:fld>
            <a:endParaRPr lang="pt-BR" sz="4000" b="1">
              <a:solidFill>
                <a:srgbClr val="22C55E"/>
              </a:solidFill>
            </a:endParaRPr>
          </a:p>
        </xdr:txBody>
      </xdr:sp>
      <xdr:sp macro="" textlink="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974F3DC5-5C5D-2D62-338A-C7345FB65E4A}"/>
              </a:ext>
            </a:extLst>
          </xdr:cNvPr>
          <xdr:cNvSpPr/>
        </xdr:nvSpPr>
        <xdr:spPr>
          <a:xfrm>
            <a:off x="2202656" y="1547812"/>
            <a:ext cx="5405437" cy="607219"/>
          </a:xfrm>
          <a:prstGeom prst="roundRect">
            <a:avLst/>
          </a:prstGeom>
          <a:solidFill>
            <a:srgbClr val="2AE6B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2000" b="1">
                <a:solidFill>
                  <a:schemeClr val="bg1"/>
                </a:solidFill>
              </a:rPr>
              <a:t>TOTAL SUBSCRIPTION MINECRAFT</a:t>
            </a:r>
            <a:r>
              <a:rPr lang="pt-BR" sz="2000" b="1" baseline="0">
                <a:solidFill>
                  <a:schemeClr val="bg1"/>
                </a:solidFill>
              </a:rPr>
              <a:t> SEASON PASS</a:t>
            </a:r>
            <a:endParaRPr lang="pt-BR" sz="2000" b="1">
              <a:solidFill>
                <a:schemeClr val="bg1"/>
              </a:solidFill>
            </a:endParaRPr>
          </a:p>
        </xdr:txBody>
      </xdr:sp>
    </xdr:grpSp>
    <xdr:clientData/>
  </xdr:twoCellAnchor>
  <xdr:twoCellAnchor editAs="absolute">
    <xdr:from>
      <xdr:col>11</xdr:col>
      <xdr:colOff>330991</xdr:colOff>
      <xdr:row>8</xdr:row>
      <xdr:rowOff>104772</xdr:rowOff>
    </xdr:from>
    <xdr:to>
      <xdr:col>14</xdr:col>
      <xdr:colOff>225498</xdr:colOff>
      <xdr:row>12</xdr:row>
      <xdr:rowOff>95248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6BCA05B4-A589-482F-8B07-70EA67A497E3}"/>
            </a:ext>
          </a:extLst>
        </xdr:cNvPr>
        <xdr:cNvGrpSpPr/>
      </xdr:nvGrpSpPr>
      <xdr:grpSpPr>
        <a:xfrm>
          <a:off x="7855741" y="2164553"/>
          <a:ext cx="1549476" cy="752476"/>
          <a:chOff x="3495675" y="5400674"/>
          <a:chExt cx="1549476" cy="752476"/>
        </a:xfrm>
      </xdr:grpSpPr>
      <xdr:pic>
        <xdr:nvPicPr>
          <xdr:cNvPr id="18" name="Imagem 17">
            <a:extLst>
              <a:ext uri="{FF2B5EF4-FFF2-40B4-BE49-F238E27FC236}">
                <a16:creationId xmlns:a16="http://schemas.microsoft.com/office/drawing/2014/main" id="{702D53CA-04FD-4945-B10C-574A57725A8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9" name="Gráfico 18">
            <a:extLst>
              <a:ext uri="{FF2B5EF4-FFF2-40B4-BE49-F238E27FC236}">
                <a16:creationId xmlns:a16="http://schemas.microsoft.com/office/drawing/2014/main" id="{19941B55-DDD6-2323-085B-17C9AE66B82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>
    <xdr:from>
      <xdr:col>11</xdr:col>
      <xdr:colOff>247650</xdr:colOff>
      <xdr:row>6</xdr:row>
      <xdr:rowOff>23812</xdr:rowOff>
    </xdr:from>
    <xdr:to>
      <xdr:col>20</xdr:col>
      <xdr:colOff>378619</xdr:colOff>
      <xdr:row>12</xdr:row>
      <xdr:rowOff>178595</xdr:rowOff>
    </xdr:to>
    <xdr:grpSp>
      <xdr:nvGrpSpPr>
        <xdr:cNvPr id="36" name="Agrupar 35">
          <a:extLst>
            <a:ext uri="{FF2B5EF4-FFF2-40B4-BE49-F238E27FC236}">
              <a16:creationId xmlns:a16="http://schemas.microsoft.com/office/drawing/2014/main" id="{7008150B-C38F-F609-2505-5B80239E3F24}"/>
            </a:ext>
          </a:extLst>
        </xdr:cNvPr>
        <xdr:cNvGrpSpPr/>
      </xdr:nvGrpSpPr>
      <xdr:grpSpPr>
        <a:xfrm>
          <a:off x="7772400" y="1547812"/>
          <a:ext cx="5429250" cy="1452564"/>
          <a:chOff x="7772400" y="1547812"/>
          <a:chExt cx="5429250" cy="1452564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0DF20537-7F0B-F47B-7173-6CD6B23C7EC5}"/>
              </a:ext>
            </a:extLst>
          </xdr:cNvPr>
          <xdr:cNvGrpSpPr/>
        </xdr:nvGrpSpPr>
        <xdr:grpSpPr>
          <a:xfrm>
            <a:off x="7772400" y="1547812"/>
            <a:ext cx="5429250" cy="1452564"/>
            <a:chOff x="2190750" y="1547812"/>
            <a:chExt cx="5429250" cy="1452564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3868DF75-7BA5-DE27-E458-971B31164CC9}"/>
                </a:ext>
              </a:extLst>
            </xdr:cNvPr>
            <xdr:cNvSpPr/>
          </xdr:nvSpPr>
          <xdr:spPr>
            <a:xfrm>
              <a:off x="2190750" y="1928813"/>
              <a:ext cx="5429250" cy="1071563"/>
            </a:xfrm>
            <a:prstGeom prst="round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B34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DF2087F1-C556-F322-4A7F-8ABA28D46C86}"/>
                </a:ext>
              </a:extLst>
            </xdr:cNvPr>
            <xdr:cNvSpPr/>
          </xdr:nvSpPr>
          <xdr:spPr>
            <a:xfrm>
              <a:off x="3830218" y="1785937"/>
              <a:ext cx="3670980" cy="1214439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567111CC-48D5-4142-8A95-049A3C0EDFE9}" type="TxLink">
                <a:rPr lang="en-US" sz="4000" b="1" i="0" u="none" strike="noStrike">
                  <a:solidFill>
                    <a:srgbClr val="22C55E"/>
                  </a:solidFill>
                  <a:latin typeface="Aptos Narrow"/>
                </a:rPr>
                <a:t> R$ 1.140,00 </a:t>
              </a:fld>
              <a:endParaRPr lang="pt-BR" sz="4000" b="1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3" name="Retângulo: Cantos Arredondados 22">
              <a:extLst>
                <a:ext uri="{FF2B5EF4-FFF2-40B4-BE49-F238E27FC236}">
                  <a16:creationId xmlns:a16="http://schemas.microsoft.com/office/drawing/2014/main" id="{AE838686-CE9C-6126-559E-FC2F3C53DC3B}"/>
                </a:ext>
              </a:extLst>
            </xdr:cNvPr>
            <xdr:cNvSpPr/>
          </xdr:nvSpPr>
          <xdr:spPr>
            <a:xfrm>
              <a:off x="2202656" y="1547812"/>
              <a:ext cx="5405437" cy="607219"/>
            </a:xfrm>
            <a:prstGeom prst="roundRect">
              <a:avLst/>
            </a:prstGeom>
            <a:solidFill>
              <a:srgbClr val="2AE6B1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pt-BR" sz="2000" b="1">
                  <a:solidFill>
                    <a:schemeClr val="bg1"/>
                  </a:solidFill>
                </a:rPr>
                <a:t>TOTAL SUBSCRIPTION MINECRAFT</a:t>
              </a:r>
              <a:r>
                <a:rPr lang="pt-BR" sz="2000" b="1" baseline="0">
                  <a:solidFill>
                    <a:schemeClr val="bg1"/>
                  </a:solidFill>
                </a:rPr>
                <a:t> SEASON PASS</a:t>
              </a:r>
              <a:endParaRPr lang="pt-BR" sz="2000" b="1">
                <a:solidFill>
                  <a:schemeClr val="bg1"/>
                </a:solidFill>
              </a:endParaRPr>
            </a:p>
          </xdr:txBody>
        </xdr:sp>
      </xdr:grpSp>
      <xdr:grpSp>
        <xdr:nvGrpSpPr>
          <xdr:cNvPr id="24" name="Agrupar 23">
            <a:extLst>
              <a:ext uri="{FF2B5EF4-FFF2-40B4-BE49-F238E27FC236}">
                <a16:creationId xmlns:a16="http://schemas.microsoft.com/office/drawing/2014/main" id="{C85D88DA-8D8F-4C57-5C0B-F930972D6DDB}"/>
              </a:ext>
            </a:extLst>
          </xdr:cNvPr>
          <xdr:cNvGrpSpPr/>
        </xdr:nvGrpSpPr>
        <xdr:grpSpPr>
          <a:xfrm>
            <a:off x="7941468" y="2166935"/>
            <a:ext cx="1225623" cy="583410"/>
            <a:chOff x="3495675" y="5400674"/>
            <a:chExt cx="1549476" cy="752476"/>
          </a:xfrm>
        </xdr:grpSpPr>
        <xdr:pic>
          <xdr:nvPicPr>
            <xdr:cNvPr id="25" name="Imagem 24">
              <a:extLst>
                <a:ext uri="{FF2B5EF4-FFF2-40B4-BE49-F238E27FC236}">
                  <a16:creationId xmlns:a16="http://schemas.microsoft.com/office/drawing/2014/main" id="{1BD0F13F-17D7-92A0-18BD-E675A7F65FA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6" name="Gráfico 25">
              <a:extLst>
                <a:ext uri="{FF2B5EF4-FFF2-40B4-BE49-F238E27FC236}">
                  <a16:creationId xmlns:a16="http://schemas.microsoft.com/office/drawing/2014/main" id="{CDE01371-76EE-8CC5-7038-651C624C54E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130968</xdr:colOff>
      <xdr:row>14</xdr:row>
      <xdr:rowOff>2</xdr:rowOff>
    </xdr:from>
    <xdr:to>
      <xdr:col>20</xdr:col>
      <xdr:colOff>381505</xdr:colOff>
      <xdr:row>17</xdr:row>
      <xdr:rowOff>178594</xdr:rowOff>
    </xdr:to>
    <xdr:sp macro="" textlink="">
      <xdr:nvSpPr>
        <xdr:cNvPr id="32" name="Retângulo: Cantos Arredondados 31">
          <a:extLst>
            <a:ext uri="{FF2B5EF4-FFF2-40B4-BE49-F238E27FC236}">
              <a16:creationId xmlns:a16="http://schemas.microsoft.com/office/drawing/2014/main" id="{24C9EDBF-627F-48DD-A725-B345739595A6}"/>
            </a:ext>
          </a:extLst>
        </xdr:cNvPr>
        <xdr:cNvSpPr/>
      </xdr:nvSpPr>
      <xdr:spPr>
        <a:xfrm>
          <a:off x="2190749" y="3202783"/>
          <a:ext cx="11013787" cy="750092"/>
        </a:xfrm>
        <a:prstGeom prst="roundRect">
          <a:avLst>
            <a:gd name="adj" fmla="val 21429"/>
          </a:avLst>
        </a:prstGeom>
        <a:solidFill>
          <a:srgbClr val="2AE6B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b="1">
              <a:solidFill>
                <a:schemeClr val="bg1"/>
              </a:solidFill>
            </a:rPr>
            <a:t>TOTAL SUBSCRIPTION XBOX</a:t>
          </a:r>
          <a:r>
            <a:rPr lang="pt-BR" sz="2000" b="1" baseline="0">
              <a:solidFill>
                <a:schemeClr val="bg1"/>
              </a:solidFill>
            </a:rPr>
            <a:t> GAME PASS</a:t>
          </a:r>
        </a:p>
        <a:p>
          <a:pPr algn="ctr"/>
          <a:endParaRPr lang="pt-BR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214312</xdr:colOff>
      <xdr:row>1</xdr:row>
      <xdr:rowOff>47624</xdr:rowOff>
    </xdr:from>
    <xdr:to>
      <xdr:col>0</xdr:col>
      <xdr:colOff>909637</xdr:colOff>
      <xdr:row>2</xdr:row>
      <xdr:rowOff>242886</xdr:rowOff>
    </xdr:to>
    <xdr:sp macro="" textlink="">
      <xdr:nvSpPr>
        <xdr:cNvPr id="33" name="Elipse 32">
          <a:extLst>
            <a:ext uri="{FF2B5EF4-FFF2-40B4-BE49-F238E27FC236}">
              <a16:creationId xmlns:a16="http://schemas.microsoft.com/office/drawing/2014/main" id="{C123AE50-9880-433C-9FA2-13681BCCB5B2}"/>
            </a:ext>
          </a:extLst>
        </xdr:cNvPr>
        <xdr:cNvSpPr/>
      </xdr:nvSpPr>
      <xdr:spPr>
        <a:xfrm>
          <a:off x="214312" y="238124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142875</xdr:colOff>
      <xdr:row>2</xdr:row>
      <xdr:rowOff>333371</xdr:rowOff>
    </xdr:from>
    <xdr:to>
      <xdr:col>0</xdr:col>
      <xdr:colOff>1616869</xdr:colOff>
      <xdr:row>6</xdr:row>
      <xdr:rowOff>39934</xdr:rowOff>
    </xdr:to>
    <xdr:sp macro="" textlink="">
      <xdr:nvSpPr>
        <xdr:cNvPr id="34" name="Retângulo: Cantos Arredondados 33">
          <a:extLst>
            <a:ext uri="{FF2B5EF4-FFF2-40B4-BE49-F238E27FC236}">
              <a16:creationId xmlns:a16="http://schemas.microsoft.com/office/drawing/2014/main" id="{1CF73665-2B85-7692-B853-0EAEBE2717B6}"/>
            </a:ext>
          </a:extLst>
        </xdr:cNvPr>
        <xdr:cNvSpPr/>
      </xdr:nvSpPr>
      <xdr:spPr>
        <a:xfrm>
          <a:off x="142875" y="1023934"/>
          <a:ext cx="1473994" cy="540000"/>
        </a:xfrm>
        <a:prstGeom prst="roundRect">
          <a:avLst/>
        </a:prstGeom>
        <a:solidFill>
          <a:srgbClr val="2AE6B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Bem</a:t>
          </a:r>
          <a:r>
            <a:rPr lang="pt-BR" sz="1100" baseline="0"/>
            <a:t> vindo :</a:t>
          </a:r>
          <a:endParaRPr lang="pt-BR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erson" refreshedDate="45989.879538773152" createdVersion="8" refreshedVersion="8" minRefreshableVersion="3" recordCount="295" xr:uid="{1C3B8FD3-3307-4A5F-A455-D34B671664E4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66413006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n v="30"/>
    <s v="Yes"/>
    <n v="20"/>
    <n v="5"/>
    <n v="60"/>
  </r>
  <r>
    <n v="3232"/>
    <x v="1"/>
    <x v="1"/>
    <d v="2024-01-15T00:00:00"/>
    <x v="1"/>
    <n v="5"/>
    <x v="1"/>
    <x v="1"/>
    <s v="-"/>
    <s v="No"/>
    <n v="0"/>
    <n v="0"/>
    <n v="5"/>
  </r>
  <r>
    <n v="3233"/>
    <x v="2"/>
    <x v="2"/>
    <d v="2024-02-10T00:00:00"/>
    <x v="0"/>
    <n v="10"/>
    <x v="2"/>
    <x v="1"/>
    <s v="-"/>
    <s v="Yes"/>
    <n v="20"/>
    <n v="10"/>
    <n v="20"/>
  </r>
  <r>
    <n v="3234"/>
    <x v="3"/>
    <x v="0"/>
    <d v="2024-02-20T00:00:00"/>
    <x v="1"/>
    <n v="15"/>
    <x v="0"/>
    <x v="0"/>
    <n v="30"/>
    <s v="Yes"/>
    <n v="20"/>
    <n v="3"/>
    <n v="62"/>
  </r>
  <r>
    <n v="3235"/>
    <x v="4"/>
    <x v="1"/>
    <d v="2024-03-05T00:00:00"/>
    <x v="0"/>
    <n v="5"/>
    <x v="0"/>
    <x v="1"/>
    <s v="-"/>
    <s v="No"/>
    <n v="0"/>
    <n v="1"/>
    <n v="4"/>
  </r>
  <r>
    <n v="3236"/>
    <x v="5"/>
    <x v="2"/>
    <d v="2024-03-02T00:00:00"/>
    <x v="1"/>
    <n v="10"/>
    <x v="0"/>
    <x v="1"/>
    <s v="-"/>
    <s v="Yes"/>
    <n v="20"/>
    <n v="2"/>
    <n v="28"/>
  </r>
  <r>
    <n v="3237"/>
    <x v="6"/>
    <x v="0"/>
    <d v="2024-03-03T00:00:00"/>
    <x v="0"/>
    <n v="15"/>
    <x v="2"/>
    <x v="0"/>
    <n v="30"/>
    <s v="Yes"/>
    <n v="20"/>
    <n v="10"/>
    <n v="55"/>
  </r>
  <r>
    <n v="3238"/>
    <x v="7"/>
    <x v="1"/>
    <d v="2024-03-04T00:00:00"/>
    <x v="0"/>
    <n v="5"/>
    <x v="1"/>
    <x v="1"/>
    <s v="-"/>
    <s v="No"/>
    <n v="0"/>
    <n v="0"/>
    <n v="5"/>
  </r>
  <r>
    <n v="3239"/>
    <x v="8"/>
    <x v="0"/>
    <d v="2024-03-05T00:00:00"/>
    <x v="1"/>
    <n v="15"/>
    <x v="0"/>
    <x v="0"/>
    <n v="30"/>
    <s v="Yes"/>
    <n v="20"/>
    <n v="5"/>
    <n v="60"/>
  </r>
  <r>
    <n v="3240"/>
    <x v="9"/>
    <x v="2"/>
    <d v="2024-03-06T00:00:00"/>
    <x v="0"/>
    <n v="10"/>
    <x v="2"/>
    <x v="1"/>
    <s v="-"/>
    <s v="Yes"/>
    <n v="20"/>
    <n v="15"/>
    <n v="15"/>
  </r>
  <r>
    <n v="3241"/>
    <x v="10"/>
    <x v="1"/>
    <d v="2024-03-07T00:00:00"/>
    <x v="1"/>
    <n v="5"/>
    <x v="0"/>
    <x v="1"/>
    <s v="-"/>
    <s v="No"/>
    <n v="0"/>
    <n v="1"/>
    <n v="4"/>
  </r>
  <r>
    <n v="3242"/>
    <x v="11"/>
    <x v="0"/>
    <d v="2024-03-08T00:00:00"/>
    <x v="0"/>
    <n v="15"/>
    <x v="1"/>
    <x v="0"/>
    <n v="30"/>
    <s v="Yes"/>
    <n v="20"/>
    <n v="20"/>
    <n v="45"/>
  </r>
  <r>
    <n v="3243"/>
    <x v="12"/>
    <x v="2"/>
    <d v="2024-03-09T00:00:00"/>
    <x v="1"/>
    <n v="10"/>
    <x v="0"/>
    <x v="1"/>
    <s v="-"/>
    <s v="Yes"/>
    <n v="20"/>
    <n v="10"/>
    <n v="20"/>
  </r>
  <r>
    <n v="3244"/>
    <x v="13"/>
    <x v="1"/>
    <d v="2024-03-10T00:00:00"/>
    <x v="0"/>
    <n v="5"/>
    <x v="2"/>
    <x v="1"/>
    <s v="-"/>
    <s v="No"/>
    <n v="0"/>
    <n v="0"/>
    <n v="5"/>
  </r>
  <r>
    <n v="3245"/>
    <x v="14"/>
    <x v="0"/>
    <d v="2024-03-11T00:00:00"/>
    <x v="1"/>
    <n v="15"/>
    <x v="0"/>
    <x v="0"/>
    <n v="30"/>
    <s v="Yes"/>
    <n v="20"/>
    <n v="8"/>
    <n v="57"/>
  </r>
  <r>
    <n v="3246"/>
    <x v="15"/>
    <x v="2"/>
    <d v="2024-03-12T00:00:00"/>
    <x v="0"/>
    <n v="10"/>
    <x v="1"/>
    <x v="1"/>
    <s v="-"/>
    <s v="Yes"/>
    <n v="20"/>
    <n v="12"/>
    <n v="18"/>
  </r>
  <r>
    <n v="3247"/>
    <x v="16"/>
    <x v="1"/>
    <d v="2024-03-13T00:00:00"/>
    <x v="1"/>
    <n v="5"/>
    <x v="0"/>
    <x v="1"/>
    <s v="-"/>
    <s v="No"/>
    <n v="0"/>
    <n v="2"/>
    <n v="3"/>
  </r>
  <r>
    <n v="3248"/>
    <x v="17"/>
    <x v="0"/>
    <d v="2024-03-14T00:00:00"/>
    <x v="0"/>
    <n v="15"/>
    <x v="2"/>
    <x v="0"/>
    <n v="30"/>
    <s v="Yes"/>
    <n v="20"/>
    <n v="7"/>
    <n v="58"/>
  </r>
  <r>
    <n v="3249"/>
    <x v="18"/>
    <x v="2"/>
    <d v="2024-03-15T00:00:00"/>
    <x v="1"/>
    <n v="10"/>
    <x v="0"/>
    <x v="1"/>
    <s v="-"/>
    <s v="Yes"/>
    <n v="20"/>
    <n v="5"/>
    <n v="25"/>
  </r>
  <r>
    <n v="3250"/>
    <x v="19"/>
    <x v="1"/>
    <d v="2024-03-16T00:00:00"/>
    <x v="0"/>
    <n v="5"/>
    <x v="1"/>
    <x v="1"/>
    <s v="-"/>
    <s v="No"/>
    <n v="0"/>
    <n v="0"/>
    <n v="5"/>
  </r>
  <r>
    <n v="3251"/>
    <x v="20"/>
    <x v="0"/>
    <d v="2024-03-17T00:00:00"/>
    <x v="1"/>
    <n v="15"/>
    <x v="0"/>
    <x v="0"/>
    <n v="30"/>
    <s v="Yes"/>
    <n v="20"/>
    <n v="3"/>
    <n v="62"/>
  </r>
  <r>
    <n v="3252"/>
    <x v="21"/>
    <x v="2"/>
    <d v="2024-03-18T00:00:00"/>
    <x v="0"/>
    <n v="10"/>
    <x v="2"/>
    <x v="1"/>
    <s v="-"/>
    <s v="Yes"/>
    <n v="20"/>
    <n v="15"/>
    <n v="15"/>
  </r>
  <r>
    <n v="3253"/>
    <x v="22"/>
    <x v="1"/>
    <d v="2024-03-19T00:00:00"/>
    <x v="1"/>
    <n v="5"/>
    <x v="0"/>
    <x v="1"/>
    <s v="-"/>
    <s v="No"/>
    <n v="0"/>
    <n v="1"/>
    <n v="4"/>
  </r>
  <r>
    <n v="3254"/>
    <x v="23"/>
    <x v="0"/>
    <d v="2024-03-20T00:00:00"/>
    <x v="0"/>
    <n v="15"/>
    <x v="1"/>
    <x v="0"/>
    <n v="30"/>
    <s v="Yes"/>
    <n v="20"/>
    <n v="20"/>
    <n v="45"/>
  </r>
  <r>
    <n v="3255"/>
    <x v="24"/>
    <x v="2"/>
    <d v="2024-03-21T00:00:00"/>
    <x v="1"/>
    <n v="10"/>
    <x v="0"/>
    <x v="1"/>
    <s v="-"/>
    <s v="Yes"/>
    <n v="20"/>
    <n v="10"/>
    <n v="20"/>
  </r>
  <r>
    <n v="3256"/>
    <x v="25"/>
    <x v="1"/>
    <d v="2024-03-22T00:00:00"/>
    <x v="0"/>
    <n v="5"/>
    <x v="2"/>
    <x v="1"/>
    <s v="-"/>
    <s v="No"/>
    <n v="0"/>
    <n v="0"/>
    <n v="5"/>
  </r>
  <r>
    <n v="3257"/>
    <x v="26"/>
    <x v="0"/>
    <d v="2024-03-23T00:00:00"/>
    <x v="1"/>
    <n v="15"/>
    <x v="0"/>
    <x v="0"/>
    <n v="30"/>
    <s v="Yes"/>
    <n v="20"/>
    <n v="5"/>
    <n v="60"/>
  </r>
  <r>
    <n v="3258"/>
    <x v="27"/>
    <x v="2"/>
    <d v="2024-03-24T00:00:00"/>
    <x v="0"/>
    <n v="10"/>
    <x v="1"/>
    <x v="1"/>
    <s v="-"/>
    <s v="Yes"/>
    <n v="20"/>
    <n v="15"/>
    <n v="15"/>
  </r>
  <r>
    <n v="3259"/>
    <x v="28"/>
    <x v="1"/>
    <d v="2024-03-25T00:00:00"/>
    <x v="1"/>
    <n v="5"/>
    <x v="0"/>
    <x v="1"/>
    <s v="-"/>
    <s v="No"/>
    <n v="0"/>
    <n v="1"/>
    <n v="4"/>
  </r>
  <r>
    <n v="3260"/>
    <x v="29"/>
    <x v="0"/>
    <d v="2024-03-26T00:00:00"/>
    <x v="0"/>
    <n v="15"/>
    <x v="2"/>
    <x v="0"/>
    <n v="30"/>
    <s v="Yes"/>
    <n v="20"/>
    <n v="7"/>
    <n v="58"/>
  </r>
  <r>
    <n v="3261"/>
    <x v="30"/>
    <x v="2"/>
    <d v="2024-03-27T00:00:00"/>
    <x v="1"/>
    <n v="10"/>
    <x v="0"/>
    <x v="1"/>
    <s v="-"/>
    <s v="Yes"/>
    <n v="20"/>
    <n v="10"/>
    <n v="20"/>
  </r>
  <r>
    <n v="3262"/>
    <x v="31"/>
    <x v="1"/>
    <d v="2024-03-28T00:00:00"/>
    <x v="0"/>
    <n v="5"/>
    <x v="1"/>
    <x v="1"/>
    <s v="-"/>
    <s v="No"/>
    <n v="0"/>
    <n v="0"/>
    <n v="5"/>
  </r>
  <r>
    <n v="3263"/>
    <x v="32"/>
    <x v="0"/>
    <d v="2024-03-29T00:00:00"/>
    <x v="1"/>
    <n v="15"/>
    <x v="0"/>
    <x v="0"/>
    <n v="30"/>
    <s v="Yes"/>
    <n v="20"/>
    <n v="3"/>
    <n v="62"/>
  </r>
  <r>
    <n v="3264"/>
    <x v="33"/>
    <x v="2"/>
    <d v="2024-03-30T00:00:00"/>
    <x v="0"/>
    <n v="10"/>
    <x v="2"/>
    <x v="1"/>
    <s v="-"/>
    <s v="Yes"/>
    <n v="20"/>
    <n v="15"/>
    <n v="15"/>
  </r>
  <r>
    <n v="3265"/>
    <x v="34"/>
    <x v="1"/>
    <d v="2024-03-31T00:00:00"/>
    <x v="1"/>
    <n v="5"/>
    <x v="0"/>
    <x v="1"/>
    <s v="-"/>
    <s v="No"/>
    <n v="0"/>
    <n v="1"/>
    <n v="4"/>
  </r>
  <r>
    <n v="3266"/>
    <x v="35"/>
    <x v="1"/>
    <d v="2024-04-01T00:00:00"/>
    <x v="0"/>
    <n v="5"/>
    <x v="0"/>
    <x v="1"/>
    <s v="-"/>
    <s v="No"/>
    <n v="0"/>
    <n v="0"/>
    <n v="5"/>
  </r>
  <r>
    <n v="3267"/>
    <x v="36"/>
    <x v="0"/>
    <d v="2024-04-02T00:00:00"/>
    <x v="1"/>
    <n v="15"/>
    <x v="2"/>
    <x v="0"/>
    <n v="30"/>
    <s v="Yes"/>
    <n v="20"/>
    <n v="7"/>
    <n v="58"/>
  </r>
  <r>
    <n v="3268"/>
    <x v="37"/>
    <x v="2"/>
    <d v="2024-04-03T00:00:00"/>
    <x v="0"/>
    <n v="10"/>
    <x v="1"/>
    <x v="1"/>
    <s v="-"/>
    <s v="Yes"/>
    <n v="20"/>
    <n v="10"/>
    <n v="20"/>
  </r>
  <r>
    <n v="3269"/>
    <x v="38"/>
    <x v="1"/>
    <d v="2024-04-04T00:00:00"/>
    <x v="1"/>
    <n v="5"/>
    <x v="2"/>
    <x v="1"/>
    <s v="-"/>
    <s v="No"/>
    <n v="0"/>
    <n v="1"/>
    <n v="4"/>
  </r>
  <r>
    <n v="3270"/>
    <x v="39"/>
    <x v="0"/>
    <d v="2024-04-05T00:00:00"/>
    <x v="0"/>
    <n v="15"/>
    <x v="0"/>
    <x v="0"/>
    <n v="30"/>
    <s v="Yes"/>
    <n v="20"/>
    <n v="15"/>
    <n v="50"/>
  </r>
  <r>
    <n v="3271"/>
    <x v="40"/>
    <x v="2"/>
    <d v="2024-04-06T00:00:00"/>
    <x v="1"/>
    <n v="10"/>
    <x v="0"/>
    <x v="1"/>
    <s v="-"/>
    <s v="Yes"/>
    <n v="20"/>
    <n v="5"/>
    <n v="25"/>
  </r>
  <r>
    <n v="3272"/>
    <x v="41"/>
    <x v="1"/>
    <d v="2024-04-07T00:00:00"/>
    <x v="0"/>
    <n v="5"/>
    <x v="1"/>
    <x v="1"/>
    <s v="-"/>
    <s v="No"/>
    <n v="0"/>
    <n v="0"/>
    <n v="5"/>
  </r>
  <r>
    <n v="3273"/>
    <x v="42"/>
    <x v="0"/>
    <d v="2024-04-08T00:00:00"/>
    <x v="1"/>
    <n v="15"/>
    <x v="2"/>
    <x v="0"/>
    <n v="30"/>
    <s v="Yes"/>
    <n v="20"/>
    <n v="20"/>
    <n v="45"/>
  </r>
  <r>
    <n v="3274"/>
    <x v="43"/>
    <x v="2"/>
    <d v="2024-04-09T00:00:00"/>
    <x v="0"/>
    <n v="10"/>
    <x v="2"/>
    <x v="1"/>
    <s v="-"/>
    <s v="Yes"/>
    <n v="20"/>
    <n v="12"/>
    <n v="18"/>
  </r>
  <r>
    <n v="3275"/>
    <x v="44"/>
    <x v="1"/>
    <d v="2024-04-10T00:00:00"/>
    <x v="1"/>
    <n v="5"/>
    <x v="0"/>
    <x v="1"/>
    <s v="-"/>
    <s v="No"/>
    <n v="0"/>
    <n v="2"/>
    <n v="3"/>
  </r>
  <r>
    <n v="3276"/>
    <x v="45"/>
    <x v="0"/>
    <d v="2024-04-11T00:00:00"/>
    <x v="0"/>
    <n v="15"/>
    <x v="1"/>
    <x v="0"/>
    <n v="30"/>
    <s v="Yes"/>
    <n v="20"/>
    <n v="5"/>
    <n v="60"/>
  </r>
  <r>
    <n v="3277"/>
    <x v="46"/>
    <x v="2"/>
    <d v="2024-04-12T00:00:00"/>
    <x v="1"/>
    <n v="10"/>
    <x v="0"/>
    <x v="1"/>
    <s v="-"/>
    <s v="Yes"/>
    <n v="20"/>
    <n v="10"/>
    <n v="20"/>
  </r>
  <r>
    <n v="3278"/>
    <x v="47"/>
    <x v="1"/>
    <d v="2024-04-13T00:00:00"/>
    <x v="0"/>
    <n v="5"/>
    <x v="2"/>
    <x v="1"/>
    <s v="-"/>
    <s v="No"/>
    <n v="0"/>
    <n v="0"/>
    <n v="5"/>
  </r>
  <r>
    <n v="3279"/>
    <x v="48"/>
    <x v="0"/>
    <d v="2024-04-14T00:00:00"/>
    <x v="1"/>
    <n v="15"/>
    <x v="0"/>
    <x v="0"/>
    <n v="30"/>
    <s v="Yes"/>
    <n v="20"/>
    <n v="3"/>
    <n v="62"/>
  </r>
  <r>
    <n v="3280"/>
    <x v="49"/>
    <x v="2"/>
    <d v="2024-04-15T00:00:00"/>
    <x v="0"/>
    <n v="10"/>
    <x v="1"/>
    <x v="1"/>
    <s v="-"/>
    <s v="Yes"/>
    <n v="20"/>
    <n v="15"/>
    <n v="15"/>
  </r>
  <r>
    <n v="3281"/>
    <x v="50"/>
    <x v="1"/>
    <d v="2024-04-16T00:00:00"/>
    <x v="1"/>
    <n v="5"/>
    <x v="0"/>
    <x v="1"/>
    <s v="-"/>
    <s v="No"/>
    <n v="0"/>
    <n v="1"/>
    <n v="4"/>
  </r>
  <r>
    <n v="3282"/>
    <x v="51"/>
    <x v="0"/>
    <d v="2024-04-17T00:00:00"/>
    <x v="0"/>
    <n v="15"/>
    <x v="2"/>
    <x v="0"/>
    <n v="30"/>
    <s v="Yes"/>
    <n v="20"/>
    <n v="7"/>
    <n v="58"/>
  </r>
  <r>
    <n v="3283"/>
    <x v="52"/>
    <x v="2"/>
    <d v="2024-04-18T00:00:00"/>
    <x v="1"/>
    <n v="10"/>
    <x v="0"/>
    <x v="1"/>
    <s v="-"/>
    <s v="Yes"/>
    <n v="20"/>
    <n v="10"/>
    <n v="20"/>
  </r>
  <r>
    <n v="3284"/>
    <x v="53"/>
    <x v="1"/>
    <d v="2024-04-19T00:00:00"/>
    <x v="0"/>
    <n v="5"/>
    <x v="1"/>
    <x v="1"/>
    <s v="-"/>
    <s v="No"/>
    <n v="0"/>
    <n v="0"/>
    <n v="5"/>
  </r>
  <r>
    <n v="3285"/>
    <x v="54"/>
    <x v="0"/>
    <d v="2024-04-20T00:00:00"/>
    <x v="1"/>
    <n v="15"/>
    <x v="0"/>
    <x v="0"/>
    <n v="30"/>
    <s v="Yes"/>
    <n v="20"/>
    <n v="20"/>
    <n v="45"/>
  </r>
  <r>
    <n v="3286"/>
    <x v="55"/>
    <x v="2"/>
    <d v="2024-04-21T00:00:00"/>
    <x v="0"/>
    <n v="10"/>
    <x v="2"/>
    <x v="1"/>
    <s v="-"/>
    <s v="Yes"/>
    <n v="20"/>
    <n v="15"/>
    <n v="15"/>
  </r>
  <r>
    <n v="3287"/>
    <x v="56"/>
    <x v="1"/>
    <d v="2024-04-22T00:00:00"/>
    <x v="1"/>
    <n v="5"/>
    <x v="0"/>
    <x v="1"/>
    <s v="-"/>
    <s v="No"/>
    <n v="0"/>
    <n v="1"/>
    <n v="4"/>
  </r>
  <r>
    <n v="3288"/>
    <x v="57"/>
    <x v="0"/>
    <d v="2024-04-23T00:00:00"/>
    <x v="0"/>
    <n v="15"/>
    <x v="1"/>
    <x v="0"/>
    <n v="30"/>
    <s v="Yes"/>
    <n v="20"/>
    <n v="3"/>
    <n v="62"/>
  </r>
  <r>
    <n v="3289"/>
    <x v="58"/>
    <x v="2"/>
    <d v="2024-04-24T00:00:00"/>
    <x v="1"/>
    <n v="10"/>
    <x v="0"/>
    <x v="1"/>
    <s v="-"/>
    <s v="Yes"/>
    <n v="20"/>
    <n v="10"/>
    <n v="20"/>
  </r>
  <r>
    <n v="3290"/>
    <x v="59"/>
    <x v="1"/>
    <d v="2024-04-25T00:00:00"/>
    <x v="0"/>
    <n v="5"/>
    <x v="2"/>
    <x v="1"/>
    <s v="-"/>
    <s v="No"/>
    <n v="0"/>
    <n v="0"/>
    <n v="5"/>
  </r>
  <r>
    <n v="3291"/>
    <x v="60"/>
    <x v="0"/>
    <d v="2024-04-26T00:00:00"/>
    <x v="1"/>
    <n v="15"/>
    <x v="0"/>
    <x v="0"/>
    <n v="30"/>
    <s v="Yes"/>
    <n v="20"/>
    <n v="5"/>
    <n v="60"/>
  </r>
  <r>
    <n v="3292"/>
    <x v="61"/>
    <x v="2"/>
    <d v="2024-04-27T00:00:00"/>
    <x v="0"/>
    <n v="10"/>
    <x v="1"/>
    <x v="1"/>
    <s v="-"/>
    <s v="Yes"/>
    <n v="20"/>
    <n v="15"/>
    <n v="15"/>
  </r>
  <r>
    <n v="3293"/>
    <x v="62"/>
    <x v="1"/>
    <d v="2024-04-28T00:00:00"/>
    <x v="1"/>
    <n v="5"/>
    <x v="0"/>
    <x v="1"/>
    <s v="-"/>
    <s v="No"/>
    <n v="0"/>
    <n v="1"/>
    <n v="4"/>
  </r>
  <r>
    <n v="3294"/>
    <x v="63"/>
    <x v="0"/>
    <d v="2024-04-29T00:00:00"/>
    <x v="0"/>
    <n v="15"/>
    <x v="2"/>
    <x v="0"/>
    <n v="30"/>
    <s v="Yes"/>
    <n v="20"/>
    <n v="20"/>
    <n v="45"/>
  </r>
  <r>
    <n v="3295"/>
    <x v="64"/>
    <x v="2"/>
    <d v="2024-04-30T00:00:00"/>
    <x v="1"/>
    <n v="10"/>
    <x v="0"/>
    <x v="1"/>
    <s v="-"/>
    <s v="Yes"/>
    <n v="20"/>
    <n v="5"/>
    <n v="25"/>
  </r>
  <r>
    <n v="3296"/>
    <x v="65"/>
    <x v="1"/>
    <d v="2024-05-01T00:00:00"/>
    <x v="1"/>
    <n v="5"/>
    <x v="0"/>
    <x v="1"/>
    <s v="-"/>
    <s v="No"/>
    <n v="0"/>
    <n v="0"/>
    <n v="5"/>
  </r>
  <r>
    <n v="3297"/>
    <x v="66"/>
    <x v="0"/>
    <d v="2024-05-02T00:00:00"/>
    <x v="0"/>
    <n v="15"/>
    <x v="2"/>
    <x v="0"/>
    <n v="30"/>
    <s v="Yes"/>
    <n v="20"/>
    <n v="7"/>
    <n v="58"/>
  </r>
  <r>
    <n v="3298"/>
    <x v="67"/>
    <x v="2"/>
    <d v="2024-05-03T00:00:00"/>
    <x v="1"/>
    <n v="10"/>
    <x v="1"/>
    <x v="1"/>
    <s v="-"/>
    <s v="Yes"/>
    <n v="20"/>
    <n v="10"/>
    <n v="20"/>
  </r>
  <r>
    <n v="3299"/>
    <x v="68"/>
    <x v="1"/>
    <d v="2024-05-04T00:00:00"/>
    <x v="0"/>
    <n v="5"/>
    <x v="2"/>
    <x v="1"/>
    <s v="-"/>
    <s v="No"/>
    <n v="0"/>
    <n v="1"/>
    <n v="4"/>
  </r>
  <r>
    <n v="3300"/>
    <x v="69"/>
    <x v="0"/>
    <d v="2024-05-05T00:00:00"/>
    <x v="1"/>
    <n v="15"/>
    <x v="0"/>
    <x v="0"/>
    <n v="30"/>
    <s v="Yes"/>
    <n v="20"/>
    <n v="15"/>
    <n v="50"/>
  </r>
  <r>
    <n v="3301"/>
    <x v="70"/>
    <x v="2"/>
    <d v="2024-05-06T00:00:00"/>
    <x v="0"/>
    <n v="10"/>
    <x v="0"/>
    <x v="1"/>
    <s v="-"/>
    <s v="Yes"/>
    <n v="20"/>
    <n v="5"/>
    <n v="25"/>
  </r>
  <r>
    <n v="3302"/>
    <x v="71"/>
    <x v="1"/>
    <d v="2024-05-07T00:00:00"/>
    <x v="1"/>
    <n v="5"/>
    <x v="1"/>
    <x v="1"/>
    <s v="-"/>
    <s v="No"/>
    <n v="0"/>
    <n v="0"/>
    <n v="5"/>
  </r>
  <r>
    <n v="3303"/>
    <x v="72"/>
    <x v="0"/>
    <d v="2024-05-08T00:00:00"/>
    <x v="0"/>
    <n v="15"/>
    <x v="2"/>
    <x v="0"/>
    <n v="30"/>
    <s v="Yes"/>
    <n v="20"/>
    <n v="20"/>
    <n v="45"/>
  </r>
  <r>
    <n v="3304"/>
    <x v="73"/>
    <x v="2"/>
    <d v="2024-05-09T00:00:00"/>
    <x v="1"/>
    <n v="10"/>
    <x v="2"/>
    <x v="1"/>
    <s v="-"/>
    <s v="Yes"/>
    <n v="20"/>
    <n v="12"/>
    <n v="18"/>
  </r>
  <r>
    <n v="3305"/>
    <x v="74"/>
    <x v="1"/>
    <d v="2024-05-10T00:00:00"/>
    <x v="0"/>
    <n v="5"/>
    <x v="0"/>
    <x v="1"/>
    <s v="-"/>
    <s v="No"/>
    <n v="0"/>
    <n v="2"/>
    <n v="3"/>
  </r>
  <r>
    <n v="3306"/>
    <x v="75"/>
    <x v="0"/>
    <d v="2024-05-11T00:00:00"/>
    <x v="1"/>
    <n v="15"/>
    <x v="1"/>
    <x v="0"/>
    <n v="30"/>
    <s v="Yes"/>
    <n v="20"/>
    <n v="5"/>
    <n v="60"/>
  </r>
  <r>
    <n v="3307"/>
    <x v="76"/>
    <x v="2"/>
    <d v="2024-05-12T00:00:00"/>
    <x v="0"/>
    <n v="10"/>
    <x v="0"/>
    <x v="1"/>
    <s v="-"/>
    <s v="Yes"/>
    <n v="20"/>
    <n v="10"/>
    <n v="20"/>
  </r>
  <r>
    <n v="3308"/>
    <x v="77"/>
    <x v="1"/>
    <d v="2024-05-13T00:00:00"/>
    <x v="1"/>
    <n v="5"/>
    <x v="2"/>
    <x v="1"/>
    <s v="-"/>
    <s v="No"/>
    <n v="0"/>
    <n v="0"/>
    <n v="5"/>
  </r>
  <r>
    <n v="3309"/>
    <x v="78"/>
    <x v="0"/>
    <d v="2024-05-14T00:00:00"/>
    <x v="0"/>
    <n v="15"/>
    <x v="0"/>
    <x v="0"/>
    <n v="30"/>
    <s v="Yes"/>
    <n v="20"/>
    <n v="3"/>
    <n v="62"/>
  </r>
  <r>
    <n v="3310"/>
    <x v="79"/>
    <x v="2"/>
    <d v="2024-05-15T00:00:00"/>
    <x v="1"/>
    <n v="10"/>
    <x v="1"/>
    <x v="1"/>
    <s v="-"/>
    <s v="Yes"/>
    <n v="20"/>
    <n v="15"/>
    <n v="15"/>
  </r>
  <r>
    <n v="3311"/>
    <x v="80"/>
    <x v="1"/>
    <d v="2024-05-16T00:00:00"/>
    <x v="0"/>
    <n v="5"/>
    <x v="0"/>
    <x v="1"/>
    <s v="-"/>
    <s v="No"/>
    <n v="0"/>
    <n v="1"/>
    <n v="4"/>
  </r>
  <r>
    <n v="3312"/>
    <x v="81"/>
    <x v="0"/>
    <d v="2024-05-17T00:00:00"/>
    <x v="1"/>
    <n v="15"/>
    <x v="2"/>
    <x v="0"/>
    <n v="30"/>
    <s v="Yes"/>
    <n v="20"/>
    <n v="7"/>
    <n v="58"/>
  </r>
  <r>
    <n v="3313"/>
    <x v="82"/>
    <x v="2"/>
    <d v="2024-05-18T00:00:00"/>
    <x v="0"/>
    <n v="10"/>
    <x v="0"/>
    <x v="1"/>
    <s v="-"/>
    <s v="Yes"/>
    <n v="20"/>
    <n v="10"/>
    <n v="20"/>
  </r>
  <r>
    <n v="3314"/>
    <x v="83"/>
    <x v="1"/>
    <d v="2024-05-19T00:00:00"/>
    <x v="1"/>
    <n v="5"/>
    <x v="1"/>
    <x v="1"/>
    <s v="-"/>
    <s v="No"/>
    <n v="0"/>
    <n v="0"/>
    <n v="5"/>
  </r>
  <r>
    <n v="3315"/>
    <x v="84"/>
    <x v="0"/>
    <d v="2024-05-20T00:00:00"/>
    <x v="0"/>
    <n v="15"/>
    <x v="0"/>
    <x v="0"/>
    <n v="30"/>
    <s v="Yes"/>
    <n v="20"/>
    <n v="20"/>
    <n v="45"/>
  </r>
  <r>
    <n v="3316"/>
    <x v="85"/>
    <x v="2"/>
    <d v="2024-05-21T00:00:00"/>
    <x v="1"/>
    <n v="10"/>
    <x v="2"/>
    <x v="1"/>
    <s v="-"/>
    <s v="Yes"/>
    <n v="20"/>
    <n v="15"/>
    <n v="15"/>
  </r>
  <r>
    <n v="3317"/>
    <x v="86"/>
    <x v="1"/>
    <d v="2024-05-22T00:00:00"/>
    <x v="0"/>
    <n v="5"/>
    <x v="0"/>
    <x v="1"/>
    <s v="-"/>
    <s v="No"/>
    <n v="0"/>
    <n v="1"/>
    <n v="4"/>
  </r>
  <r>
    <n v="3318"/>
    <x v="87"/>
    <x v="0"/>
    <d v="2024-05-23T00:00:00"/>
    <x v="1"/>
    <n v="15"/>
    <x v="1"/>
    <x v="0"/>
    <n v="30"/>
    <s v="Yes"/>
    <n v="20"/>
    <n v="3"/>
    <n v="62"/>
  </r>
  <r>
    <n v="3319"/>
    <x v="88"/>
    <x v="2"/>
    <d v="2024-05-24T00:00:00"/>
    <x v="0"/>
    <n v="10"/>
    <x v="0"/>
    <x v="1"/>
    <s v="-"/>
    <s v="Yes"/>
    <n v="20"/>
    <n v="10"/>
    <n v="20"/>
  </r>
  <r>
    <n v="3320"/>
    <x v="89"/>
    <x v="1"/>
    <d v="2024-05-25T00:00:00"/>
    <x v="1"/>
    <n v="5"/>
    <x v="2"/>
    <x v="1"/>
    <s v="-"/>
    <s v="No"/>
    <n v="0"/>
    <n v="0"/>
    <n v="5"/>
  </r>
  <r>
    <n v="3321"/>
    <x v="90"/>
    <x v="0"/>
    <d v="2024-05-26T00:00:00"/>
    <x v="0"/>
    <n v="15"/>
    <x v="0"/>
    <x v="0"/>
    <n v="30"/>
    <s v="Yes"/>
    <n v="20"/>
    <n v="5"/>
    <n v="60"/>
  </r>
  <r>
    <n v="3322"/>
    <x v="91"/>
    <x v="2"/>
    <d v="2024-05-27T00:00:00"/>
    <x v="1"/>
    <n v="10"/>
    <x v="1"/>
    <x v="1"/>
    <s v="-"/>
    <s v="Yes"/>
    <n v="20"/>
    <n v="15"/>
    <n v="15"/>
  </r>
  <r>
    <n v="3323"/>
    <x v="92"/>
    <x v="1"/>
    <d v="2024-05-28T00:00:00"/>
    <x v="0"/>
    <n v="5"/>
    <x v="0"/>
    <x v="1"/>
    <s v="-"/>
    <s v="No"/>
    <n v="0"/>
    <n v="1"/>
    <n v="4"/>
  </r>
  <r>
    <n v="3324"/>
    <x v="93"/>
    <x v="0"/>
    <d v="2024-05-29T00:00:00"/>
    <x v="1"/>
    <n v="15"/>
    <x v="2"/>
    <x v="0"/>
    <n v="30"/>
    <s v="Yes"/>
    <n v="20"/>
    <n v="20"/>
    <n v="45"/>
  </r>
  <r>
    <n v="3325"/>
    <x v="94"/>
    <x v="2"/>
    <d v="2024-05-30T00:00:00"/>
    <x v="0"/>
    <n v="10"/>
    <x v="2"/>
    <x v="1"/>
    <s v="-"/>
    <s v="Yes"/>
    <n v="20"/>
    <n v="15"/>
    <n v="15"/>
  </r>
  <r>
    <n v="3326"/>
    <x v="95"/>
    <x v="1"/>
    <d v="2024-05-31T00:00:00"/>
    <x v="1"/>
    <n v="5"/>
    <x v="1"/>
    <x v="1"/>
    <s v="-"/>
    <s v="No"/>
    <n v="0"/>
    <n v="0"/>
    <n v="5"/>
  </r>
  <r>
    <n v="3327"/>
    <x v="96"/>
    <x v="0"/>
    <d v="2024-06-01T00:00:00"/>
    <x v="0"/>
    <n v="15"/>
    <x v="0"/>
    <x v="0"/>
    <n v="30"/>
    <s v="Yes"/>
    <n v="20"/>
    <n v="7"/>
    <n v="58"/>
  </r>
  <r>
    <n v="3328"/>
    <x v="97"/>
    <x v="2"/>
    <d v="2024-06-02T00:00:00"/>
    <x v="1"/>
    <n v="10"/>
    <x v="1"/>
    <x v="1"/>
    <s v="-"/>
    <s v="Yes"/>
    <n v="20"/>
    <n v="10"/>
    <n v="20"/>
  </r>
  <r>
    <n v="3329"/>
    <x v="98"/>
    <x v="1"/>
    <d v="2024-06-03T00:00:00"/>
    <x v="0"/>
    <n v="5"/>
    <x v="2"/>
    <x v="1"/>
    <s v="-"/>
    <s v="No"/>
    <n v="0"/>
    <n v="1"/>
    <n v="4"/>
  </r>
  <r>
    <n v="3330"/>
    <x v="99"/>
    <x v="0"/>
    <d v="2024-06-04T00:00:00"/>
    <x v="1"/>
    <n v="15"/>
    <x v="0"/>
    <x v="0"/>
    <n v="30"/>
    <s v="Yes"/>
    <n v="20"/>
    <n v="15"/>
    <n v="50"/>
  </r>
  <r>
    <n v="3331"/>
    <x v="100"/>
    <x v="2"/>
    <d v="2024-06-05T00:00:00"/>
    <x v="0"/>
    <n v="10"/>
    <x v="0"/>
    <x v="1"/>
    <s v="-"/>
    <s v="Yes"/>
    <n v="20"/>
    <n v="5"/>
    <n v="25"/>
  </r>
  <r>
    <n v="3332"/>
    <x v="101"/>
    <x v="1"/>
    <d v="2024-06-06T00:00:00"/>
    <x v="1"/>
    <n v="5"/>
    <x v="1"/>
    <x v="1"/>
    <s v="-"/>
    <s v="No"/>
    <n v="0"/>
    <n v="0"/>
    <n v="5"/>
  </r>
  <r>
    <n v="3333"/>
    <x v="102"/>
    <x v="0"/>
    <d v="2024-06-07T00:00:00"/>
    <x v="0"/>
    <n v="15"/>
    <x v="2"/>
    <x v="0"/>
    <n v="30"/>
    <s v="Yes"/>
    <n v="20"/>
    <n v="20"/>
    <n v="45"/>
  </r>
  <r>
    <n v="3334"/>
    <x v="103"/>
    <x v="2"/>
    <d v="2024-06-08T00:00:00"/>
    <x v="1"/>
    <n v="10"/>
    <x v="2"/>
    <x v="1"/>
    <s v="-"/>
    <s v="Yes"/>
    <n v="20"/>
    <n v="12"/>
    <n v="18"/>
  </r>
  <r>
    <n v="3335"/>
    <x v="104"/>
    <x v="1"/>
    <d v="2024-06-09T00:00:00"/>
    <x v="0"/>
    <n v="5"/>
    <x v="0"/>
    <x v="1"/>
    <s v="-"/>
    <s v="No"/>
    <n v="0"/>
    <n v="2"/>
    <n v="3"/>
  </r>
  <r>
    <n v="3336"/>
    <x v="105"/>
    <x v="1"/>
    <d v="2024-06-10T00:00:00"/>
    <x v="0"/>
    <n v="5"/>
    <x v="0"/>
    <x v="1"/>
    <s v="-"/>
    <s v="No"/>
    <n v="0"/>
    <n v="0"/>
    <n v="5"/>
  </r>
  <r>
    <n v="3337"/>
    <x v="106"/>
    <x v="0"/>
    <d v="2024-06-11T00:00:00"/>
    <x v="1"/>
    <n v="15"/>
    <x v="2"/>
    <x v="0"/>
    <n v="30"/>
    <s v="Yes"/>
    <n v="20"/>
    <n v="7"/>
    <n v="58"/>
  </r>
  <r>
    <n v="3338"/>
    <x v="107"/>
    <x v="2"/>
    <d v="2024-06-12T00:00:00"/>
    <x v="0"/>
    <n v="10"/>
    <x v="1"/>
    <x v="1"/>
    <s v="-"/>
    <s v="Yes"/>
    <n v="20"/>
    <n v="10"/>
    <n v="20"/>
  </r>
  <r>
    <n v="3339"/>
    <x v="108"/>
    <x v="1"/>
    <d v="2024-06-13T00:00:00"/>
    <x v="1"/>
    <n v="5"/>
    <x v="2"/>
    <x v="1"/>
    <s v="-"/>
    <s v="No"/>
    <n v="0"/>
    <n v="1"/>
    <n v="4"/>
  </r>
  <r>
    <n v="3340"/>
    <x v="109"/>
    <x v="0"/>
    <d v="2024-06-14T00:00:00"/>
    <x v="0"/>
    <n v="15"/>
    <x v="0"/>
    <x v="0"/>
    <n v="30"/>
    <s v="Yes"/>
    <n v="20"/>
    <n v="15"/>
    <n v="50"/>
  </r>
  <r>
    <n v="3341"/>
    <x v="110"/>
    <x v="2"/>
    <d v="2024-06-15T00:00:00"/>
    <x v="1"/>
    <n v="10"/>
    <x v="0"/>
    <x v="1"/>
    <s v="-"/>
    <s v="Yes"/>
    <n v="20"/>
    <n v="5"/>
    <n v="25"/>
  </r>
  <r>
    <n v="3342"/>
    <x v="111"/>
    <x v="1"/>
    <d v="2024-06-16T00:00:00"/>
    <x v="0"/>
    <n v="5"/>
    <x v="1"/>
    <x v="1"/>
    <s v="-"/>
    <s v="No"/>
    <n v="0"/>
    <n v="0"/>
    <n v="5"/>
  </r>
  <r>
    <n v="3343"/>
    <x v="112"/>
    <x v="0"/>
    <d v="2024-06-17T00:00:00"/>
    <x v="1"/>
    <n v="15"/>
    <x v="2"/>
    <x v="0"/>
    <n v="30"/>
    <s v="Yes"/>
    <n v="20"/>
    <n v="20"/>
    <n v="45"/>
  </r>
  <r>
    <n v="3344"/>
    <x v="113"/>
    <x v="2"/>
    <d v="2024-06-18T00:00:00"/>
    <x v="0"/>
    <n v="10"/>
    <x v="2"/>
    <x v="1"/>
    <s v="-"/>
    <s v="Yes"/>
    <n v="20"/>
    <n v="12"/>
    <n v="18"/>
  </r>
  <r>
    <n v="3345"/>
    <x v="114"/>
    <x v="1"/>
    <d v="2024-06-19T00:00:00"/>
    <x v="1"/>
    <n v="5"/>
    <x v="0"/>
    <x v="1"/>
    <s v="-"/>
    <s v="No"/>
    <n v="0"/>
    <n v="2"/>
    <n v="3"/>
  </r>
  <r>
    <n v="3346"/>
    <x v="115"/>
    <x v="0"/>
    <d v="2024-06-20T00:00:00"/>
    <x v="0"/>
    <n v="15"/>
    <x v="1"/>
    <x v="0"/>
    <n v="30"/>
    <s v="Yes"/>
    <n v="20"/>
    <n v="5"/>
    <n v="60"/>
  </r>
  <r>
    <n v="3347"/>
    <x v="116"/>
    <x v="2"/>
    <d v="2024-06-21T00:00:00"/>
    <x v="1"/>
    <n v="10"/>
    <x v="0"/>
    <x v="1"/>
    <s v="-"/>
    <s v="Yes"/>
    <n v="20"/>
    <n v="10"/>
    <n v="20"/>
  </r>
  <r>
    <n v="3348"/>
    <x v="117"/>
    <x v="1"/>
    <d v="2024-06-22T00:00:00"/>
    <x v="0"/>
    <n v="5"/>
    <x v="2"/>
    <x v="1"/>
    <s v="-"/>
    <s v="No"/>
    <n v="0"/>
    <n v="0"/>
    <n v="5"/>
  </r>
  <r>
    <n v="3349"/>
    <x v="93"/>
    <x v="0"/>
    <d v="2024-06-23T00:00:00"/>
    <x v="1"/>
    <n v="15"/>
    <x v="0"/>
    <x v="0"/>
    <n v="30"/>
    <s v="Yes"/>
    <n v="20"/>
    <n v="3"/>
    <n v="62"/>
  </r>
  <r>
    <n v="3350"/>
    <x v="118"/>
    <x v="2"/>
    <d v="2024-06-24T00:00:00"/>
    <x v="0"/>
    <n v="10"/>
    <x v="1"/>
    <x v="1"/>
    <s v="-"/>
    <s v="Yes"/>
    <n v="20"/>
    <n v="15"/>
    <n v="15"/>
  </r>
  <r>
    <n v="3351"/>
    <x v="119"/>
    <x v="1"/>
    <d v="2024-06-25T00:00:00"/>
    <x v="1"/>
    <n v="5"/>
    <x v="0"/>
    <x v="1"/>
    <s v="-"/>
    <s v="No"/>
    <n v="0"/>
    <n v="1"/>
    <n v="4"/>
  </r>
  <r>
    <n v="3352"/>
    <x v="120"/>
    <x v="0"/>
    <d v="2024-06-26T00:00:00"/>
    <x v="0"/>
    <n v="15"/>
    <x v="2"/>
    <x v="0"/>
    <n v="30"/>
    <s v="Yes"/>
    <n v="20"/>
    <n v="7"/>
    <n v="58"/>
  </r>
  <r>
    <n v="3353"/>
    <x v="121"/>
    <x v="2"/>
    <d v="2024-06-27T00:00:00"/>
    <x v="1"/>
    <n v="10"/>
    <x v="0"/>
    <x v="1"/>
    <s v="-"/>
    <s v="Yes"/>
    <n v="20"/>
    <n v="10"/>
    <n v="20"/>
  </r>
  <r>
    <n v="3354"/>
    <x v="122"/>
    <x v="1"/>
    <d v="2024-06-28T00:00:00"/>
    <x v="0"/>
    <n v="5"/>
    <x v="1"/>
    <x v="1"/>
    <s v="-"/>
    <s v="No"/>
    <n v="0"/>
    <n v="0"/>
    <n v="5"/>
  </r>
  <r>
    <n v="3355"/>
    <x v="123"/>
    <x v="0"/>
    <d v="2024-06-29T00:00:00"/>
    <x v="1"/>
    <n v="15"/>
    <x v="0"/>
    <x v="0"/>
    <n v="30"/>
    <s v="Yes"/>
    <n v="20"/>
    <n v="20"/>
    <n v="45"/>
  </r>
  <r>
    <n v="3356"/>
    <x v="124"/>
    <x v="2"/>
    <d v="2024-06-30T00:00:00"/>
    <x v="0"/>
    <n v="10"/>
    <x v="2"/>
    <x v="1"/>
    <s v="-"/>
    <s v="Yes"/>
    <n v="20"/>
    <n v="15"/>
    <n v="15"/>
  </r>
  <r>
    <n v="3357"/>
    <x v="125"/>
    <x v="1"/>
    <d v="2024-07-01T00:00:00"/>
    <x v="1"/>
    <n v="5"/>
    <x v="0"/>
    <x v="1"/>
    <s v="-"/>
    <s v="No"/>
    <n v="0"/>
    <n v="1"/>
    <n v="4"/>
  </r>
  <r>
    <n v="3358"/>
    <x v="126"/>
    <x v="0"/>
    <d v="2024-07-02T00:00:00"/>
    <x v="0"/>
    <n v="15"/>
    <x v="1"/>
    <x v="0"/>
    <n v="30"/>
    <s v="Yes"/>
    <n v="20"/>
    <n v="3"/>
    <n v="62"/>
  </r>
  <r>
    <n v="3359"/>
    <x v="127"/>
    <x v="2"/>
    <d v="2024-07-03T00:00:00"/>
    <x v="1"/>
    <n v="10"/>
    <x v="0"/>
    <x v="1"/>
    <s v="-"/>
    <s v="Yes"/>
    <n v="20"/>
    <n v="10"/>
    <n v="20"/>
  </r>
  <r>
    <n v="3360"/>
    <x v="128"/>
    <x v="1"/>
    <d v="2024-07-04T00:00:00"/>
    <x v="0"/>
    <n v="5"/>
    <x v="2"/>
    <x v="1"/>
    <s v="-"/>
    <s v="No"/>
    <n v="0"/>
    <n v="0"/>
    <n v="5"/>
  </r>
  <r>
    <n v="3361"/>
    <x v="129"/>
    <x v="0"/>
    <d v="2024-07-05T00:00:00"/>
    <x v="1"/>
    <n v="15"/>
    <x v="0"/>
    <x v="0"/>
    <n v="30"/>
    <s v="Yes"/>
    <n v="20"/>
    <n v="15"/>
    <n v="50"/>
  </r>
  <r>
    <n v="3362"/>
    <x v="130"/>
    <x v="2"/>
    <d v="2024-07-06T00:00:00"/>
    <x v="0"/>
    <n v="10"/>
    <x v="1"/>
    <x v="1"/>
    <s v="-"/>
    <s v="Yes"/>
    <n v="20"/>
    <n v="15"/>
    <n v="15"/>
  </r>
  <r>
    <n v="3363"/>
    <x v="131"/>
    <x v="1"/>
    <d v="2024-07-07T00:00:00"/>
    <x v="1"/>
    <n v="5"/>
    <x v="0"/>
    <x v="1"/>
    <s v="-"/>
    <s v="No"/>
    <n v="0"/>
    <n v="1"/>
    <n v="4"/>
  </r>
  <r>
    <n v="3364"/>
    <x v="132"/>
    <x v="0"/>
    <d v="2024-07-08T00:00:00"/>
    <x v="0"/>
    <n v="15"/>
    <x v="2"/>
    <x v="0"/>
    <n v="30"/>
    <s v="Yes"/>
    <n v="20"/>
    <n v="7"/>
    <n v="58"/>
  </r>
  <r>
    <n v="3365"/>
    <x v="133"/>
    <x v="2"/>
    <d v="2024-07-09T00:00:00"/>
    <x v="1"/>
    <n v="10"/>
    <x v="0"/>
    <x v="1"/>
    <s v="-"/>
    <s v="Yes"/>
    <n v="20"/>
    <n v="10"/>
    <n v="20"/>
  </r>
  <r>
    <n v="3366"/>
    <x v="134"/>
    <x v="1"/>
    <d v="2024-07-10T00:00:00"/>
    <x v="0"/>
    <n v="5"/>
    <x v="0"/>
    <x v="1"/>
    <s v="-"/>
    <s v="No"/>
    <n v="0"/>
    <n v="0"/>
    <n v="5"/>
  </r>
  <r>
    <n v="3367"/>
    <x v="135"/>
    <x v="0"/>
    <d v="2024-07-11T00:00:00"/>
    <x v="1"/>
    <n v="15"/>
    <x v="2"/>
    <x v="0"/>
    <n v="30"/>
    <s v="Yes"/>
    <n v="20"/>
    <n v="7"/>
    <n v="58"/>
  </r>
  <r>
    <n v="3368"/>
    <x v="136"/>
    <x v="2"/>
    <d v="2024-07-12T00:00:00"/>
    <x v="0"/>
    <n v="10"/>
    <x v="1"/>
    <x v="1"/>
    <s v="-"/>
    <s v="Yes"/>
    <n v="20"/>
    <n v="10"/>
    <n v="20"/>
  </r>
  <r>
    <n v="3369"/>
    <x v="137"/>
    <x v="1"/>
    <d v="2024-07-13T00:00:00"/>
    <x v="1"/>
    <n v="5"/>
    <x v="2"/>
    <x v="1"/>
    <s v="-"/>
    <s v="No"/>
    <n v="0"/>
    <n v="1"/>
    <n v="4"/>
  </r>
  <r>
    <n v="3370"/>
    <x v="138"/>
    <x v="0"/>
    <d v="2024-07-14T00:00:00"/>
    <x v="0"/>
    <n v="15"/>
    <x v="0"/>
    <x v="0"/>
    <n v="30"/>
    <s v="Yes"/>
    <n v="20"/>
    <n v="15"/>
    <n v="50"/>
  </r>
  <r>
    <n v="3371"/>
    <x v="139"/>
    <x v="2"/>
    <d v="2024-07-15T00:00:00"/>
    <x v="1"/>
    <n v="10"/>
    <x v="0"/>
    <x v="1"/>
    <s v="-"/>
    <s v="Yes"/>
    <n v="20"/>
    <n v="5"/>
    <n v="25"/>
  </r>
  <r>
    <n v="3372"/>
    <x v="140"/>
    <x v="1"/>
    <d v="2024-07-16T00:00:00"/>
    <x v="0"/>
    <n v="5"/>
    <x v="1"/>
    <x v="1"/>
    <s v="-"/>
    <s v="No"/>
    <n v="0"/>
    <n v="0"/>
    <n v="5"/>
  </r>
  <r>
    <n v="3373"/>
    <x v="141"/>
    <x v="0"/>
    <d v="2024-07-17T00:00:00"/>
    <x v="1"/>
    <n v="15"/>
    <x v="2"/>
    <x v="0"/>
    <n v="30"/>
    <s v="Yes"/>
    <n v="20"/>
    <n v="20"/>
    <n v="45"/>
  </r>
  <r>
    <n v="3374"/>
    <x v="142"/>
    <x v="2"/>
    <d v="2024-07-18T00:00:00"/>
    <x v="0"/>
    <n v="10"/>
    <x v="2"/>
    <x v="1"/>
    <s v="-"/>
    <s v="Yes"/>
    <n v="20"/>
    <n v="12"/>
    <n v="18"/>
  </r>
  <r>
    <n v="3375"/>
    <x v="143"/>
    <x v="1"/>
    <d v="2024-07-19T00:00:00"/>
    <x v="1"/>
    <n v="5"/>
    <x v="0"/>
    <x v="1"/>
    <s v="-"/>
    <s v="No"/>
    <n v="0"/>
    <n v="2"/>
    <n v="3"/>
  </r>
  <r>
    <n v="3376"/>
    <x v="144"/>
    <x v="0"/>
    <d v="2024-07-20T00:00:00"/>
    <x v="0"/>
    <n v="15"/>
    <x v="1"/>
    <x v="0"/>
    <n v="30"/>
    <s v="Yes"/>
    <n v="20"/>
    <n v="5"/>
    <n v="60"/>
  </r>
  <r>
    <n v="3377"/>
    <x v="145"/>
    <x v="2"/>
    <d v="2024-07-21T00:00:00"/>
    <x v="1"/>
    <n v="10"/>
    <x v="0"/>
    <x v="1"/>
    <s v="-"/>
    <s v="Yes"/>
    <n v="20"/>
    <n v="10"/>
    <n v="20"/>
  </r>
  <r>
    <n v="3378"/>
    <x v="146"/>
    <x v="1"/>
    <d v="2024-07-22T00:00:00"/>
    <x v="0"/>
    <n v="5"/>
    <x v="2"/>
    <x v="1"/>
    <s v="-"/>
    <s v="No"/>
    <n v="0"/>
    <n v="0"/>
    <n v="5"/>
  </r>
  <r>
    <n v="3379"/>
    <x v="147"/>
    <x v="0"/>
    <d v="2024-07-23T00:00:00"/>
    <x v="1"/>
    <n v="15"/>
    <x v="0"/>
    <x v="0"/>
    <n v="30"/>
    <s v="Yes"/>
    <n v="20"/>
    <n v="3"/>
    <n v="62"/>
  </r>
  <r>
    <n v="3380"/>
    <x v="148"/>
    <x v="2"/>
    <d v="2024-07-24T00:00:00"/>
    <x v="0"/>
    <n v="10"/>
    <x v="1"/>
    <x v="1"/>
    <s v="-"/>
    <s v="Yes"/>
    <n v="20"/>
    <n v="15"/>
    <n v="15"/>
  </r>
  <r>
    <n v="3381"/>
    <x v="149"/>
    <x v="1"/>
    <d v="2024-07-25T00:00:00"/>
    <x v="1"/>
    <n v="5"/>
    <x v="0"/>
    <x v="1"/>
    <s v="-"/>
    <s v="No"/>
    <n v="0"/>
    <n v="1"/>
    <n v="4"/>
  </r>
  <r>
    <n v="3382"/>
    <x v="150"/>
    <x v="0"/>
    <d v="2024-07-26T00:00:00"/>
    <x v="0"/>
    <n v="15"/>
    <x v="2"/>
    <x v="0"/>
    <n v="30"/>
    <s v="Yes"/>
    <n v="20"/>
    <n v="7"/>
    <n v="58"/>
  </r>
  <r>
    <n v="3383"/>
    <x v="151"/>
    <x v="2"/>
    <d v="2024-07-27T00:00:00"/>
    <x v="1"/>
    <n v="10"/>
    <x v="0"/>
    <x v="1"/>
    <s v="-"/>
    <s v="Yes"/>
    <n v="20"/>
    <n v="10"/>
    <n v="20"/>
  </r>
  <r>
    <n v="3384"/>
    <x v="152"/>
    <x v="1"/>
    <d v="2024-07-28T00:00:00"/>
    <x v="0"/>
    <n v="5"/>
    <x v="1"/>
    <x v="1"/>
    <s v="-"/>
    <s v="No"/>
    <n v="0"/>
    <n v="0"/>
    <n v="5"/>
  </r>
  <r>
    <n v="3385"/>
    <x v="153"/>
    <x v="0"/>
    <d v="2024-07-29T00:00:00"/>
    <x v="1"/>
    <n v="15"/>
    <x v="0"/>
    <x v="0"/>
    <n v="30"/>
    <s v="Yes"/>
    <n v="20"/>
    <n v="20"/>
    <n v="45"/>
  </r>
  <r>
    <n v="3386"/>
    <x v="154"/>
    <x v="2"/>
    <d v="2024-07-30T00:00:00"/>
    <x v="0"/>
    <n v="10"/>
    <x v="2"/>
    <x v="1"/>
    <s v="-"/>
    <s v="Yes"/>
    <n v="20"/>
    <n v="15"/>
    <n v="15"/>
  </r>
  <r>
    <n v="3387"/>
    <x v="155"/>
    <x v="1"/>
    <d v="2024-07-31T00:00:00"/>
    <x v="1"/>
    <n v="5"/>
    <x v="0"/>
    <x v="1"/>
    <s v="-"/>
    <s v="No"/>
    <n v="0"/>
    <n v="1"/>
    <n v="4"/>
  </r>
  <r>
    <n v="3388"/>
    <x v="156"/>
    <x v="0"/>
    <d v="2024-08-01T00:00:00"/>
    <x v="0"/>
    <n v="15"/>
    <x v="1"/>
    <x v="0"/>
    <n v="30"/>
    <s v="Yes"/>
    <n v="20"/>
    <n v="3"/>
    <n v="62"/>
  </r>
  <r>
    <n v="3389"/>
    <x v="157"/>
    <x v="2"/>
    <d v="2024-08-02T00:00:00"/>
    <x v="1"/>
    <n v="10"/>
    <x v="0"/>
    <x v="1"/>
    <s v="-"/>
    <s v="Yes"/>
    <n v="20"/>
    <n v="10"/>
    <n v="20"/>
  </r>
  <r>
    <n v="3390"/>
    <x v="158"/>
    <x v="1"/>
    <d v="2024-08-03T00:00:00"/>
    <x v="0"/>
    <n v="5"/>
    <x v="2"/>
    <x v="1"/>
    <s v="-"/>
    <s v="No"/>
    <n v="0"/>
    <n v="0"/>
    <n v="5"/>
  </r>
  <r>
    <n v="3391"/>
    <x v="58"/>
    <x v="0"/>
    <d v="2024-08-04T00:00:00"/>
    <x v="1"/>
    <n v="15"/>
    <x v="0"/>
    <x v="0"/>
    <n v="30"/>
    <s v="Yes"/>
    <n v="20"/>
    <n v="15"/>
    <n v="50"/>
  </r>
  <r>
    <n v="3392"/>
    <x v="159"/>
    <x v="2"/>
    <d v="2024-08-05T00:00:00"/>
    <x v="0"/>
    <n v="10"/>
    <x v="1"/>
    <x v="1"/>
    <s v="-"/>
    <s v="Yes"/>
    <n v="20"/>
    <n v="15"/>
    <n v="15"/>
  </r>
  <r>
    <n v="3393"/>
    <x v="160"/>
    <x v="1"/>
    <d v="2024-08-06T00:00:00"/>
    <x v="1"/>
    <n v="5"/>
    <x v="0"/>
    <x v="1"/>
    <s v="-"/>
    <s v="No"/>
    <n v="0"/>
    <n v="1"/>
    <n v="4"/>
  </r>
  <r>
    <n v="3394"/>
    <x v="161"/>
    <x v="0"/>
    <d v="2024-08-07T00:00:00"/>
    <x v="0"/>
    <n v="15"/>
    <x v="2"/>
    <x v="0"/>
    <n v="30"/>
    <s v="Yes"/>
    <n v="20"/>
    <n v="7"/>
    <n v="58"/>
  </r>
  <r>
    <n v="3395"/>
    <x v="162"/>
    <x v="2"/>
    <d v="2024-08-08T00:00:00"/>
    <x v="1"/>
    <n v="10"/>
    <x v="0"/>
    <x v="1"/>
    <s v="-"/>
    <s v="Yes"/>
    <n v="20"/>
    <n v="10"/>
    <n v="20"/>
  </r>
  <r>
    <n v="3396"/>
    <x v="163"/>
    <x v="1"/>
    <d v="2024-08-09T00:00:00"/>
    <x v="0"/>
    <n v="5"/>
    <x v="1"/>
    <x v="1"/>
    <s v="-"/>
    <s v="No"/>
    <n v="0"/>
    <n v="0"/>
    <n v="5"/>
  </r>
  <r>
    <n v="3397"/>
    <x v="90"/>
    <x v="0"/>
    <d v="2024-08-10T00:00:00"/>
    <x v="1"/>
    <n v="15"/>
    <x v="0"/>
    <x v="0"/>
    <n v="30"/>
    <s v="Yes"/>
    <n v="20"/>
    <n v="20"/>
    <n v="45"/>
  </r>
  <r>
    <n v="3398"/>
    <x v="164"/>
    <x v="2"/>
    <d v="2024-08-11T00:00:00"/>
    <x v="0"/>
    <n v="10"/>
    <x v="2"/>
    <x v="1"/>
    <s v="-"/>
    <s v="Yes"/>
    <n v="20"/>
    <n v="15"/>
    <n v="15"/>
  </r>
  <r>
    <n v="3399"/>
    <x v="165"/>
    <x v="1"/>
    <d v="2024-08-12T00:00:00"/>
    <x v="1"/>
    <n v="5"/>
    <x v="0"/>
    <x v="1"/>
    <s v="-"/>
    <s v="No"/>
    <n v="0"/>
    <n v="1"/>
    <n v="4"/>
  </r>
  <r>
    <n v="3400"/>
    <x v="166"/>
    <x v="0"/>
    <d v="2024-08-13T00:00:00"/>
    <x v="0"/>
    <n v="15"/>
    <x v="1"/>
    <x v="0"/>
    <n v="30"/>
    <s v="Yes"/>
    <n v="20"/>
    <n v="5"/>
    <n v="60"/>
  </r>
  <r>
    <n v="3401"/>
    <x v="167"/>
    <x v="2"/>
    <d v="2024-08-14T00:00:00"/>
    <x v="1"/>
    <n v="10"/>
    <x v="0"/>
    <x v="1"/>
    <s v="-"/>
    <s v="Yes"/>
    <n v="20"/>
    <n v="10"/>
    <n v="20"/>
  </r>
  <r>
    <n v="3402"/>
    <x v="168"/>
    <x v="1"/>
    <d v="2024-08-15T00:00:00"/>
    <x v="0"/>
    <n v="5"/>
    <x v="2"/>
    <x v="1"/>
    <s v="-"/>
    <s v="No"/>
    <n v="0"/>
    <n v="0"/>
    <n v="5"/>
  </r>
  <r>
    <n v="3403"/>
    <x v="169"/>
    <x v="0"/>
    <d v="2024-08-16T00:00:00"/>
    <x v="1"/>
    <n v="15"/>
    <x v="0"/>
    <x v="0"/>
    <n v="30"/>
    <s v="Yes"/>
    <n v="20"/>
    <n v="3"/>
    <n v="62"/>
  </r>
  <r>
    <n v="3404"/>
    <x v="170"/>
    <x v="2"/>
    <d v="2024-08-17T00:00:00"/>
    <x v="0"/>
    <n v="10"/>
    <x v="1"/>
    <x v="1"/>
    <s v="-"/>
    <s v="Yes"/>
    <n v="20"/>
    <n v="15"/>
    <n v="15"/>
  </r>
  <r>
    <n v="3405"/>
    <x v="171"/>
    <x v="1"/>
    <d v="2024-08-18T00:00:00"/>
    <x v="1"/>
    <n v="5"/>
    <x v="0"/>
    <x v="1"/>
    <s v="-"/>
    <s v="No"/>
    <n v="0"/>
    <n v="1"/>
    <n v="4"/>
  </r>
  <r>
    <n v="3406"/>
    <x v="172"/>
    <x v="1"/>
    <d v="2024-08-19T00:00:00"/>
    <x v="0"/>
    <n v="5"/>
    <x v="0"/>
    <x v="1"/>
    <s v="-"/>
    <s v="No"/>
    <n v="0"/>
    <n v="0"/>
    <n v="5"/>
  </r>
  <r>
    <n v="3407"/>
    <x v="173"/>
    <x v="0"/>
    <d v="2024-08-20T00:00:00"/>
    <x v="1"/>
    <n v="15"/>
    <x v="2"/>
    <x v="0"/>
    <n v="30"/>
    <s v="Yes"/>
    <n v="20"/>
    <n v="7"/>
    <n v="58"/>
  </r>
  <r>
    <n v="3408"/>
    <x v="174"/>
    <x v="2"/>
    <d v="2024-08-21T00:00:00"/>
    <x v="0"/>
    <n v="10"/>
    <x v="1"/>
    <x v="1"/>
    <s v="-"/>
    <s v="Yes"/>
    <n v="20"/>
    <n v="10"/>
    <n v="20"/>
  </r>
  <r>
    <n v="3409"/>
    <x v="175"/>
    <x v="1"/>
    <d v="2024-08-22T00:00:00"/>
    <x v="1"/>
    <n v="5"/>
    <x v="2"/>
    <x v="1"/>
    <s v="-"/>
    <s v="No"/>
    <n v="0"/>
    <n v="1"/>
    <n v="4"/>
  </r>
  <r>
    <n v="3410"/>
    <x v="176"/>
    <x v="0"/>
    <d v="2024-08-23T00:00:00"/>
    <x v="0"/>
    <n v="15"/>
    <x v="0"/>
    <x v="0"/>
    <n v="30"/>
    <s v="Yes"/>
    <n v="20"/>
    <n v="15"/>
    <n v="50"/>
  </r>
  <r>
    <n v="3411"/>
    <x v="177"/>
    <x v="2"/>
    <d v="2024-08-24T00:00:00"/>
    <x v="1"/>
    <n v="10"/>
    <x v="0"/>
    <x v="1"/>
    <s v="-"/>
    <s v="Yes"/>
    <n v="20"/>
    <n v="5"/>
    <n v="25"/>
  </r>
  <r>
    <n v="3412"/>
    <x v="178"/>
    <x v="1"/>
    <d v="2024-08-25T00:00:00"/>
    <x v="0"/>
    <n v="5"/>
    <x v="1"/>
    <x v="1"/>
    <s v="-"/>
    <s v="No"/>
    <n v="0"/>
    <n v="0"/>
    <n v="5"/>
  </r>
  <r>
    <n v="3413"/>
    <x v="179"/>
    <x v="0"/>
    <d v="2024-08-26T00:00:00"/>
    <x v="1"/>
    <n v="15"/>
    <x v="2"/>
    <x v="0"/>
    <n v="30"/>
    <s v="Yes"/>
    <n v="20"/>
    <n v="20"/>
    <n v="45"/>
  </r>
  <r>
    <n v="3414"/>
    <x v="180"/>
    <x v="2"/>
    <d v="2024-08-27T00:00:00"/>
    <x v="0"/>
    <n v="10"/>
    <x v="2"/>
    <x v="1"/>
    <s v="-"/>
    <s v="Yes"/>
    <n v="20"/>
    <n v="12"/>
    <n v="18"/>
  </r>
  <r>
    <n v="3415"/>
    <x v="181"/>
    <x v="1"/>
    <d v="2024-08-28T00:00:00"/>
    <x v="1"/>
    <n v="5"/>
    <x v="0"/>
    <x v="1"/>
    <s v="-"/>
    <s v="No"/>
    <n v="0"/>
    <n v="2"/>
    <n v="3"/>
  </r>
  <r>
    <n v="3416"/>
    <x v="182"/>
    <x v="0"/>
    <d v="2024-08-29T00:00:00"/>
    <x v="0"/>
    <n v="15"/>
    <x v="1"/>
    <x v="0"/>
    <n v="30"/>
    <s v="Yes"/>
    <n v="20"/>
    <n v="5"/>
    <n v="60"/>
  </r>
  <r>
    <n v="3417"/>
    <x v="183"/>
    <x v="2"/>
    <d v="2024-08-30T00:00:00"/>
    <x v="1"/>
    <n v="10"/>
    <x v="0"/>
    <x v="1"/>
    <s v="-"/>
    <s v="Yes"/>
    <n v="20"/>
    <n v="10"/>
    <n v="20"/>
  </r>
  <r>
    <n v="3418"/>
    <x v="184"/>
    <x v="1"/>
    <d v="2024-08-31T00:00:00"/>
    <x v="0"/>
    <n v="5"/>
    <x v="2"/>
    <x v="1"/>
    <s v="-"/>
    <s v="No"/>
    <n v="0"/>
    <n v="0"/>
    <n v="5"/>
  </r>
  <r>
    <n v="3419"/>
    <x v="185"/>
    <x v="0"/>
    <d v="2024-09-01T00:00:00"/>
    <x v="1"/>
    <n v="15"/>
    <x v="0"/>
    <x v="0"/>
    <n v="30"/>
    <s v="Yes"/>
    <n v="20"/>
    <n v="3"/>
    <n v="62"/>
  </r>
  <r>
    <n v="3420"/>
    <x v="186"/>
    <x v="2"/>
    <d v="2024-09-02T00:00:00"/>
    <x v="0"/>
    <n v="10"/>
    <x v="1"/>
    <x v="1"/>
    <s v="-"/>
    <s v="Yes"/>
    <n v="20"/>
    <n v="15"/>
    <n v="15"/>
  </r>
  <r>
    <n v="3421"/>
    <x v="15"/>
    <x v="1"/>
    <d v="2024-09-03T00:00:00"/>
    <x v="1"/>
    <n v="5"/>
    <x v="0"/>
    <x v="1"/>
    <s v="-"/>
    <s v="No"/>
    <n v="0"/>
    <n v="1"/>
    <n v="4"/>
  </r>
  <r>
    <n v="3422"/>
    <x v="187"/>
    <x v="0"/>
    <d v="2024-09-04T00:00:00"/>
    <x v="0"/>
    <n v="15"/>
    <x v="2"/>
    <x v="0"/>
    <n v="30"/>
    <s v="Yes"/>
    <n v="20"/>
    <n v="7"/>
    <n v="58"/>
  </r>
  <r>
    <n v="3423"/>
    <x v="188"/>
    <x v="2"/>
    <d v="2024-09-05T00:00:00"/>
    <x v="1"/>
    <n v="10"/>
    <x v="0"/>
    <x v="1"/>
    <s v="-"/>
    <s v="Yes"/>
    <n v="20"/>
    <n v="10"/>
    <n v="20"/>
  </r>
  <r>
    <n v="3424"/>
    <x v="14"/>
    <x v="1"/>
    <d v="2024-09-06T00:00:00"/>
    <x v="0"/>
    <n v="5"/>
    <x v="1"/>
    <x v="1"/>
    <s v="-"/>
    <s v="No"/>
    <n v="0"/>
    <n v="0"/>
    <n v="5"/>
  </r>
  <r>
    <n v="3425"/>
    <x v="189"/>
    <x v="0"/>
    <d v="2024-09-07T00:00:00"/>
    <x v="1"/>
    <n v="15"/>
    <x v="0"/>
    <x v="0"/>
    <n v="30"/>
    <s v="Yes"/>
    <n v="20"/>
    <n v="20"/>
    <n v="45"/>
  </r>
  <r>
    <n v="3426"/>
    <x v="167"/>
    <x v="2"/>
    <d v="2024-09-08T00:00:00"/>
    <x v="0"/>
    <n v="10"/>
    <x v="2"/>
    <x v="1"/>
    <s v="-"/>
    <s v="Yes"/>
    <n v="20"/>
    <n v="15"/>
    <n v="15"/>
  </r>
  <r>
    <n v="3427"/>
    <x v="190"/>
    <x v="1"/>
    <d v="2024-09-09T00:00:00"/>
    <x v="1"/>
    <n v="5"/>
    <x v="0"/>
    <x v="1"/>
    <s v="-"/>
    <s v="No"/>
    <n v="0"/>
    <n v="1"/>
    <n v="4"/>
  </r>
  <r>
    <n v="3428"/>
    <x v="191"/>
    <x v="0"/>
    <d v="2024-09-10T00:00:00"/>
    <x v="0"/>
    <n v="15"/>
    <x v="1"/>
    <x v="0"/>
    <n v="30"/>
    <s v="Yes"/>
    <n v="20"/>
    <n v="3"/>
    <n v="62"/>
  </r>
  <r>
    <n v="3429"/>
    <x v="192"/>
    <x v="2"/>
    <d v="2024-09-11T00:00:00"/>
    <x v="1"/>
    <n v="10"/>
    <x v="0"/>
    <x v="1"/>
    <s v="-"/>
    <s v="Yes"/>
    <n v="20"/>
    <n v="10"/>
    <n v="20"/>
  </r>
  <r>
    <n v="3430"/>
    <x v="193"/>
    <x v="1"/>
    <d v="2024-09-12T00:00:00"/>
    <x v="0"/>
    <n v="5"/>
    <x v="2"/>
    <x v="1"/>
    <s v="-"/>
    <s v="No"/>
    <n v="0"/>
    <n v="0"/>
    <n v="5"/>
  </r>
  <r>
    <n v="3431"/>
    <x v="194"/>
    <x v="0"/>
    <d v="2024-09-13T00:00:00"/>
    <x v="1"/>
    <n v="15"/>
    <x v="0"/>
    <x v="0"/>
    <n v="30"/>
    <s v="Yes"/>
    <n v="20"/>
    <n v="15"/>
    <n v="50"/>
  </r>
  <r>
    <n v="3432"/>
    <x v="195"/>
    <x v="2"/>
    <d v="2024-09-14T00:00:00"/>
    <x v="0"/>
    <n v="10"/>
    <x v="1"/>
    <x v="1"/>
    <s v="-"/>
    <s v="Yes"/>
    <n v="20"/>
    <n v="15"/>
    <n v="15"/>
  </r>
  <r>
    <n v="3433"/>
    <x v="196"/>
    <x v="1"/>
    <d v="2024-09-15T00:00:00"/>
    <x v="1"/>
    <n v="5"/>
    <x v="0"/>
    <x v="1"/>
    <s v="-"/>
    <s v="No"/>
    <n v="0"/>
    <n v="1"/>
    <n v="4"/>
  </r>
  <r>
    <n v="3434"/>
    <x v="197"/>
    <x v="0"/>
    <d v="2024-09-16T00:00:00"/>
    <x v="0"/>
    <n v="15"/>
    <x v="2"/>
    <x v="0"/>
    <n v="30"/>
    <s v="Yes"/>
    <n v="20"/>
    <n v="7"/>
    <n v="58"/>
  </r>
  <r>
    <n v="3435"/>
    <x v="198"/>
    <x v="2"/>
    <d v="2024-09-17T00:00:00"/>
    <x v="1"/>
    <n v="10"/>
    <x v="0"/>
    <x v="1"/>
    <s v="-"/>
    <s v="Yes"/>
    <n v="20"/>
    <n v="10"/>
    <n v="20"/>
  </r>
  <r>
    <n v="3436"/>
    <x v="199"/>
    <x v="1"/>
    <d v="2024-09-18T00:00:00"/>
    <x v="0"/>
    <n v="5"/>
    <x v="0"/>
    <x v="1"/>
    <s v="-"/>
    <s v="No"/>
    <n v="0"/>
    <n v="0"/>
    <n v="5"/>
  </r>
  <r>
    <n v="3437"/>
    <x v="200"/>
    <x v="0"/>
    <d v="2024-09-19T00:00:00"/>
    <x v="1"/>
    <n v="15"/>
    <x v="2"/>
    <x v="0"/>
    <n v="30"/>
    <s v="Yes"/>
    <n v="20"/>
    <n v="7"/>
    <n v="58"/>
  </r>
  <r>
    <n v="3438"/>
    <x v="201"/>
    <x v="2"/>
    <d v="2024-09-20T00:00:00"/>
    <x v="0"/>
    <n v="10"/>
    <x v="1"/>
    <x v="1"/>
    <s v="-"/>
    <s v="Yes"/>
    <n v="20"/>
    <n v="10"/>
    <n v="20"/>
  </r>
  <r>
    <n v="3439"/>
    <x v="202"/>
    <x v="1"/>
    <d v="2024-09-21T00:00:00"/>
    <x v="1"/>
    <n v="5"/>
    <x v="2"/>
    <x v="1"/>
    <s v="-"/>
    <s v="No"/>
    <n v="0"/>
    <n v="1"/>
    <n v="4"/>
  </r>
  <r>
    <n v="3440"/>
    <x v="203"/>
    <x v="0"/>
    <d v="2024-09-22T00:00:00"/>
    <x v="0"/>
    <n v="15"/>
    <x v="0"/>
    <x v="0"/>
    <n v="30"/>
    <s v="Yes"/>
    <n v="20"/>
    <n v="15"/>
    <n v="50"/>
  </r>
  <r>
    <n v="3441"/>
    <x v="204"/>
    <x v="2"/>
    <d v="2024-09-23T00:00:00"/>
    <x v="1"/>
    <n v="10"/>
    <x v="0"/>
    <x v="1"/>
    <s v="-"/>
    <s v="Yes"/>
    <n v="20"/>
    <n v="5"/>
    <n v="25"/>
  </r>
  <r>
    <n v="3442"/>
    <x v="205"/>
    <x v="1"/>
    <d v="2024-09-24T00:00:00"/>
    <x v="0"/>
    <n v="5"/>
    <x v="1"/>
    <x v="1"/>
    <s v="-"/>
    <s v="No"/>
    <n v="0"/>
    <n v="0"/>
    <n v="5"/>
  </r>
  <r>
    <n v="3443"/>
    <x v="206"/>
    <x v="0"/>
    <d v="2024-09-25T00:00:00"/>
    <x v="1"/>
    <n v="15"/>
    <x v="2"/>
    <x v="0"/>
    <n v="30"/>
    <s v="Yes"/>
    <n v="20"/>
    <n v="20"/>
    <n v="45"/>
  </r>
  <r>
    <n v="3444"/>
    <x v="207"/>
    <x v="2"/>
    <d v="2024-09-26T00:00:00"/>
    <x v="0"/>
    <n v="10"/>
    <x v="2"/>
    <x v="1"/>
    <s v="-"/>
    <s v="Yes"/>
    <n v="20"/>
    <n v="12"/>
    <n v="18"/>
  </r>
  <r>
    <n v="3445"/>
    <x v="37"/>
    <x v="1"/>
    <d v="2024-09-27T00:00:00"/>
    <x v="1"/>
    <n v="5"/>
    <x v="0"/>
    <x v="1"/>
    <s v="-"/>
    <s v="No"/>
    <n v="0"/>
    <n v="2"/>
    <n v="3"/>
  </r>
  <r>
    <n v="3446"/>
    <x v="208"/>
    <x v="0"/>
    <d v="2024-09-28T00:00:00"/>
    <x v="0"/>
    <n v="15"/>
    <x v="1"/>
    <x v="0"/>
    <n v="30"/>
    <s v="Yes"/>
    <n v="20"/>
    <n v="5"/>
    <n v="60"/>
  </r>
  <r>
    <n v="3447"/>
    <x v="209"/>
    <x v="2"/>
    <d v="2024-09-29T00:00:00"/>
    <x v="1"/>
    <n v="10"/>
    <x v="0"/>
    <x v="1"/>
    <s v="-"/>
    <s v="Yes"/>
    <n v="20"/>
    <n v="10"/>
    <n v="20"/>
  </r>
  <r>
    <n v="3448"/>
    <x v="210"/>
    <x v="1"/>
    <d v="2024-09-30T00:00:00"/>
    <x v="0"/>
    <n v="5"/>
    <x v="2"/>
    <x v="1"/>
    <s v="-"/>
    <s v="No"/>
    <n v="0"/>
    <n v="0"/>
    <n v="5"/>
  </r>
  <r>
    <n v="3449"/>
    <x v="211"/>
    <x v="0"/>
    <d v="2024-10-01T00:00:00"/>
    <x v="1"/>
    <n v="15"/>
    <x v="0"/>
    <x v="0"/>
    <n v="30"/>
    <s v="Yes"/>
    <n v="20"/>
    <n v="3"/>
    <n v="62"/>
  </r>
  <r>
    <n v="3450"/>
    <x v="212"/>
    <x v="2"/>
    <d v="2024-10-02T00:00:00"/>
    <x v="0"/>
    <n v="10"/>
    <x v="1"/>
    <x v="1"/>
    <s v="-"/>
    <s v="Yes"/>
    <n v="20"/>
    <n v="15"/>
    <n v="15"/>
  </r>
  <r>
    <n v="3451"/>
    <x v="213"/>
    <x v="1"/>
    <d v="2024-10-03T00:00:00"/>
    <x v="1"/>
    <n v="5"/>
    <x v="0"/>
    <x v="1"/>
    <s v="-"/>
    <s v="No"/>
    <n v="0"/>
    <n v="1"/>
    <n v="4"/>
  </r>
  <r>
    <n v="3452"/>
    <x v="191"/>
    <x v="0"/>
    <d v="2024-10-04T00:00:00"/>
    <x v="0"/>
    <n v="15"/>
    <x v="2"/>
    <x v="0"/>
    <n v="30"/>
    <s v="Yes"/>
    <n v="20"/>
    <n v="7"/>
    <n v="58"/>
  </r>
  <r>
    <n v="3453"/>
    <x v="45"/>
    <x v="2"/>
    <d v="2024-10-05T00:00:00"/>
    <x v="1"/>
    <n v="10"/>
    <x v="0"/>
    <x v="1"/>
    <s v="-"/>
    <s v="Yes"/>
    <n v="20"/>
    <n v="10"/>
    <n v="20"/>
  </r>
  <r>
    <n v="3454"/>
    <x v="214"/>
    <x v="1"/>
    <d v="2024-10-06T00:00:00"/>
    <x v="0"/>
    <n v="5"/>
    <x v="1"/>
    <x v="1"/>
    <s v="-"/>
    <s v="No"/>
    <n v="0"/>
    <n v="0"/>
    <n v="5"/>
  </r>
  <r>
    <n v="3455"/>
    <x v="215"/>
    <x v="0"/>
    <d v="2024-10-07T00:00:00"/>
    <x v="1"/>
    <n v="15"/>
    <x v="0"/>
    <x v="0"/>
    <n v="30"/>
    <s v="Yes"/>
    <n v="20"/>
    <n v="20"/>
    <n v="45"/>
  </r>
  <r>
    <n v="3456"/>
    <x v="216"/>
    <x v="2"/>
    <d v="2024-10-08T00:00:00"/>
    <x v="0"/>
    <n v="10"/>
    <x v="2"/>
    <x v="1"/>
    <s v="-"/>
    <s v="Yes"/>
    <n v="20"/>
    <n v="15"/>
    <n v="15"/>
  </r>
  <r>
    <n v="3457"/>
    <x v="217"/>
    <x v="1"/>
    <d v="2024-10-09T00:00:00"/>
    <x v="1"/>
    <n v="5"/>
    <x v="0"/>
    <x v="1"/>
    <s v="-"/>
    <s v="No"/>
    <n v="0"/>
    <n v="1"/>
    <n v="4"/>
  </r>
  <r>
    <n v="3458"/>
    <x v="218"/>
    <x v="0"/>
    <d v="2024-10-10T00:00:00"/>
    <x v="0"/>
    <n v="15"/>
    <x v="1"/>
    <x v="0"/>
    <n v="30"/>
    <s v="Yes"/>
    <n v="20"/>
    <n v="3"/>
    <n v="62"/>
  </r>
  <r>
    <n v="3459"/>
    <x v="219"/>
    <x v="2"/>
    <d v="2024-10-11T00:00:00"/>
    <x v="1"/>
    <n v="10"/>
    <x v="0"/>
    <x v="1"/>
    <s v="-"/>
    <s v="Yes"/>
    <n v="20"/>
    <n v="10"/>
    <n v="20"/>
  </r>
  <r>
    <n v="3460"/>
    <x v="127"/>
    <x v="1"/>
    <d v="2024-10-12T00:00:00"/>
    <x v="0"/>
    <n v="5"/>
    <x v="2"/>
    <x v="1"/>
    <s v="-"/>
    <s v="No"/>
    <n v="0"/>
    <n v="0"/>
    <n v="5"/>
  </r>
  <r>
    <n v="3461"/>
    <x v="220"/>
    <x v="0"/>
    <d v="2024-10-13T00:00:00"/>
    <x v="1"/>
    <n v="15"/>
    <x v="0"/>
    <x v="0"/>
    <n v="30"/>
    <s v="Yes"/>
    <n v="20"/>
    <n v="15"/>
    <n v="50"/>
  </r>
  <r>
    <n v="3462"/>
    <x v="221"/>
    <x v="2"/>
    <d v="2024-10-14T00:00:00"/>
    <x v="0"/>
    <n v="10"/>
    <x v="1"/>
    <x v="1"/>
    <s v="-"/>
    <s v="Yes"/>
    <n v="20"/>
    <n v="15"/>
    <n v="15"/>
  </r>
  <r>
    <n v="3463"/>
    <x v="222"/>
    <x v="1"/>
    <d v="2024-10-15T00:00:00"/>
    <x v="1"/>
    <n v="5"/>
    <x v="0"/>
    <x v="1"/>
    <s v="-"/>
    <s v="No"/>
    <n v="0"/>
    <n v="1"/>
    <n v="4"/>
  </r>
  <r>
    <n v="3464"/>
    <x v="223"/>
    <x v="0"/>
    <d v="2024-10-16T00:00:00"/>
    <x v="0"/>
    <n v="15"/>
    <x v="2"/>
    <x v="0"/>
    <n v="30"/>
    <s v="Yes"/>
    <n v="20"/>
    <n v="7"/>
    <n v="58"/>
  </r>
  <r>
    <n v="3465"/>
    <x v="224"/>
    <x v="2"/>
    <d v="2024-10-17T00:00:00"/>
    <x v="1"/>
    <n v="10"/>
    <x v="0"/>
    <x v="1"/>
    <s v="-"/>
    <s v="Yes"/>
    <n v="20"/>
    <n v="10"/>
    <n v="20"/>
  </r>
  <r>
    <n v="3466"/>
    <x v="225"/>
    <x v="1"/>
    <d v="2024-10-18T00:00:00"/>
    <x v="0"/>
    <n v="5"/>
    <x v="1"/>
    <x v="1"/>
    <s v="-"/>
    <s v="No"/>
    <n v="0"/>
    <n v="0"/>
    <n v="5"/>
  </r>
  <r>
    <n v="3467"/>
    <x v="226"/>
    <x v="0"/>
    <d v="2024-10-19T00:00:00"/>
    <x v="1"/>
    <n v="15"/>
    <x v="0"/>
    <x v="0"/>
    <n v="30"/>
    <s v="Yes"/>
    <n v="20"/>
    <n v="15"/>
    <n v="50"/>
  </r>
  <r>
    <n v="3468"/>
    <x v="227"/>
    <x v="2"/>
    <d v="2024-10-20T00:00:00"/>
    <x v="0"/>
    <n v="10"/>
    <x v="2"/>
    <x v="1"/>
    <s v="-"/>
    <s v="Yes"/>
    <n v="20"/>
    <n v="12"/>
    <n v="18"/>
  </r>
  <r>
    <n v="3469"/>
    <x v="228"/>
    <x v="1"/>
    <d v="2024-10-21T00:00:00"/>
    <x v="1"/>
    <n v="5"/>
    <x v="0"/>
    <x v="1"/>
    <s v="-"/>
    <s v="No"/>
    <n v="0"/>
    <n v="2"/>
    <n v="3"/>
  </r>
  <r>
    <n v="3470"/>
    <x v="229"/>
    <x v="0"/>
    <d v="2024-10-22T00:00:00"/>
    <x v="0"/>
    <n v="15"/>
    <x v="1"/>
    <x v="0"/>
    <n v="30"/>
    <s v="Yes"/>
    <n v="20"/>
    <n v="5"/>
    <n v="60"/>
  </r>
  <r>
    <n v="3471"/>
    <x v="230"/>
    <x v="2"/>
    <d v="2024-10-23T00:00:00"/>
    <x v="1"/>
    <n v="10"/>
    <x v="0"/>
    <x v="1"/>
    <s v="-"/>
    <s v="Yes"/>
    <n v="20"/>
    <n v="10"/>
    <n v="20"/>
  </r>
  <r>
    <n v="3472"/>
    <x v="231"/>
    <x v="1"/>
    <d v="2024-10-24T00:00:00"/>
    <x v="0"/>
    <n v="5"/>
    <x v="2"/>
    <x v="1"/>
    <s v="-"/>
    <s v="No"/>
    <n v="0"/>
    <n v="0"/>
    <n v="5"/>
  </r>
  <r>
    <n v="3473"/>
    <x v="140"/>
    <x v="0"/>
    <d v="2024-10-25T00:00:00"/>
    <x v="1"/>
    <n v="15"/>
    <x v="0"/>
    <x v="0"/>
    <n v="30"/>
    <s v="Yes"/>
    <n v="20"/>
    <n v="3"/>
    <n v="62"/>
  </r>
  <r>
    <n v="3474"/>
    <x v="232"/>
    <x v="2"/>
    <d v="2024-10-26T00:00:00"/>
    <x v="0"/>
    <n v="10"/>
    <x v="1"/>
    <x v="1"/>
    <s v="-"/>
    <s v="Yes"/>
    <n v="20"/>
    <n v="15"/>
    <n v="15"/>
  </r>
  <r>
    <n v="3475"/>
    <x v="233"/>
    <x v="1"/>
    <d v="2024-10-27T00:00:00"/>
    <x v="1"/>
    <n v="5"/>
    <x v="0"/>
    <x v="1"/>
    <s v="-"/>
    <s v="No"/>
    <n v="0"/>
    <n v="1"/>
    <n v="4"/>
  </r>
  <r>
    <n v="3476"/>
    <x v="234"/>
    <x v="0"/>
    <d v="2024-10-28T00:00:00"/>
    <x v="0"/>
    <n v="15"/>
    <x v="2"/>
    <x v="0"/>
    <n v="30"/>
    <s v="Yes"/>
    <n v="20"/>
    <n v="7"/>
    <n v="58"/>
  </r>
  <r>
    <n v="3477"/>
    <x v="235"/>
    <x v="2"/>
    <d v="2024-10-29T00:00:00"/>
    <x v="1"/>
    <n v="10"/>
    <x v="0"/>
    <x v="1"/>
    <s v="-"/>
    <s v="Yes"/>
    <n v="20"/>
    <n v="10"/>
    <n v="20"/>
  </r>
  <r>
    <n v="3478"/>
    <x v="236"/>
    <x v="1"/>
    <d v="2024-10-30T00:00:00"/>
    <x v="0"/>
    <n v="5"/>
    <x v="1"/>
    <x v="1"/>
    <s v="-"/>
    <s v="No"/>
    <n v="0"/>
    <n v="0"/>
    <n v="5"/>
  </r>
  <r>
    <n v="3479"/>
    <x v="237"/>
    <x v="0"/>
    <d v="2024-10-31T00:00:00"/>
    <x v="1"/>
    <n v="15"/>
    <x v="0"/>
    <x v="0"/>
    <n v="30"/>
    <s v="Yes"/>
    <n v="20"/>
    <n v="20"/>
    <n v="45"/>
  </r>
  <r>
    <n v="3480"/>
    <x v="238"/>
    <x v="2"/>
    <d v="2024-11-01T00:00:00"/>
    <x v="0"/>
    <n v="10"/>
    <x v="2"/>
    <x v="1"/>
    <s v="-"/>
    <s v="Yes"/>
    <n v="20"/>
    <n v="15"/>
    <n v="15"/>
  </r>
  <r>
    <n v="3481"/>
    <x v="239"/>
    <x v="1"/>
    <d v="2024-11-02T00:00:00"/>
    <x v="1"/>
    <n v="5"/>
    <x v="0"/>
    <x v="1"/>
    <s v="-"/>
    <s v="No"/>
    <n v="0"/>
    <n v="1"/>
    <n v="4"/>
  </r>
  <r>
    <n v="3482"/>
    <x v="240"/>
    <x v="0"/>
    <d v="2024-11-03T00:00:00"/>
    <x v="0"/>
    <n v="15"/>
    <x v="1"/>
    <x v="0"/>
    <n v="30"/>
    <s v="Yes"/>
    <n v="20"/>
    <n v="3"/>
    <n v="62"/>
  </r>
  <r>
    <n v="3483"/>
    <x v="241"/>
    <x v="2"/>
    <d v="2024-11-04T00:00:00"/>
    <x v="1"/>
    <n v="10"/>
    <x v="0"/>
    <x v="1"/>
    <s v="-"/>
    <s v="Yes"/>
    <n v="20"/>
    <n v="10"/>
    <n v="20"/>
  </r>
  <r>
    <n v="3484"/>
    <x v="242"/>
    <x v="1"/>
    <d v="2024-11-05T00:00:00"/>
    <x v="0"/>
    <n v="5"/>
    <x v="2"/>
    <x v="1"/>
    <s v="-"/>
    <s v="No"/>
    <n v="0"/>
    <n v="0"/>
    <n v="5"/>
  </r>
  <r>
    <n v="3485"/>
    <x v="243"/>
    <x v="0"/>
    <d v="2024-11-06T00:00:00"/>
    <x v="1"/>
    <n v="15"/>
    <x v="0"/>
    <x v="0"/>
    <n v="30"/>
    <s v="Yes"/>
    <n v="20"/>
    <n v="15"/>
    <n v="50"/>
  </r>
  <r>
    <n v="3486"/>
    <x v="244"/>
    <x v="1"/>
    <d v="2024-11-07T00:00:00"/>
    <x v="0"/>
    <n v="5"/>
    <x v="0"/>
    <x v="1"/>
    <s v="-"/>
    <s v="No"/>
    <n v="0"/>
    <n v="0"/>
    <n v="5"/>
  </r>
  <r>
    <n v="3487"/>
    <x v="245"/>
    <x v="0"/>
    <d v="2024-11-08T00:00:00"/>
    <x v="1"/>
    <n v="15"/>
    <x v="2"/>
    <x v="0"/>
    <n v="30"/>
    <s v="Yes"/>
    <n v="20"/>
    <n v="7"/>
    <n v="58"/>
  </r>
  <r>
    <n v="3488"/>
    <x v="246"/>
    <x v="2"/>
    <d v="2024-11-09T00:00:00"/>
    <x v="0"/>
    <n v="10"/>
    <x v="1"/>
    <x v="1"/>
    <s v="-"/>
    <s v="Yes"/>
    <n v="20"/>
    <n v="10"/>
    <n v="20"/>
  </r>
  <r>
    <n v="3489"/>
    <x v="247"/>
    <x v="1"/>
    <d v="2024-11-10T00:00:00"/>
    <x v="1"/>
    <n v="5"/>
    <x v="2"/>
    <x v="1"/>
    <s v="-"/>
    <s v="No"/>
    <n v="0"/>
    <n v="1"/>
    <n v="4"/>
  </r>
  <r>
    <n v="3490"/>
    <x v="248"/>
    <x v="0"/>
    <d v="2024-11-11T00:00:00"/>
    <x v="0"/>
    <n v="15"/>
    <x v="0"/>
    <x v="0"/>
    <n v="30"/>
    <s v="Yes"/>
    <n v="20"/>
    <n v="15"/>
    <n v="50"/>
  </r>
  <r>
    <n v="3491"/>
    <x v="249"/>
    <x v="2"/>
    <d v="2024-11-12T00:00:00"/>
    <x v="1"/>
    <n v="10"/>
    <x v="0"/>
    <x v="1"/>
    <s v="-"/>
    <s v="Yes"/>
    <n v="20"/>
    <n v="5"/>
    <n v="25"/>
  </r>
  <r>
    <n v="3492"/>
    <x v="250"/>
    <x v="1"/>
    <d v="2024-11-13T00:00:00"/>
    <x v="0"/>
    <n v="5"/>
    <x v="1"/>
    <x v="1"/>
    <s v="-"/>
    <s v="No"/>
    <n v="0"/>
    <n v="0"/>
    <n v="5"/>
  </r>
  <r>
    <n v="3493"/>
    <x v="251"/>
    <x v="0"/>
    <d v="2024-11-14T00:00:00"/>
    <x v="1"/>
    <n v="15"/>
    <x v="2"/>
    <x v="0"/>
    <n v="30"/>
    <s v="Yes"/>
    <n v="20"/>
    <n v="20"/>
    <n v="45"/>
  </r>
  <r>
    <n v="3494"/>
    <x v="252"/>
    <x v="2"/>
    <d v="2024-11-15T00:00:00"/>
    <x v="0"/>
    <n v="10"/>
    <x v="2"/>
    <x v="1"/>
    <s v="-"/>
    <s v="Yes"/>
    <n v="20"/>
    <n v="12"/>
    <n v="18"/>
  </r>
  <r>
    <n v="3495"/>
    <x v="253"/>
    <x v="1"/>
    <d v="2024-11-16T00:00:00"/>
    <x v="1"/>
    <n v="5"/>
    <x v="0"/>
    <x v="1"/>
    <s v="-"/>
    <s v="No"/>
    <n v="0"/>
    <n v="2"/>
    <n v="3"/>
  </r>
  <r>
    <n v="3496"/>
    <x v="254"/>
    <x v="0"/>
    <d v="2024-11-17T00:00:00"/>
    <x v="0"/>
    <n v="15"/>
    <x v="1"/>
    <x v="0"/>
    <n v="30"/>
    <s v="Yes"/>
    <n v="20"/>
    <n v="5"/>
    <n v="60"/>
  </r>
  <r>
    <n v="3497"/>
    <x v="255"/>
    <x v="2"/>
    <d v="2024-11-18T00:00:00"/>
    <x v="1"/>
    <n v="10"/>
    <x v="0"/>
    <x v="1"/>
    <s v="-"/>
    <s v="Yes"/>
    <n v="20"/>
    <n v="10"/>
    <n v="20"/>
  </r>
  <r>
    <n v="3498"/>
    <x v="256"/>
    <x v="1"/>
    <d v="2024-11-19T00:00:00"/>
    <x v="0"/>
    <n v="5"/>
    <x v="2"/>
    <x v="1"/>
    <s v="-"/>
    <s v="No"/>
    <n v="0"/>
    <n v="0"/>
    <n v="5"/>
  </r>
  <r>
    <n v="3499"/>
    <x v="257"/>
    <x v="0"/>
    <d v="2024-11-20T00:00:00"/>
    <x v="1"/>
    <n v="15"/>
    <x v="0"/>
    <x v="0"/>
    <n v="30"/>
    <s v="Yes"/>
    <n v="20"/>
    <n v="3"/>
    <n v="62"/>
  </r>
  <r>
    <n v="3500"/>
    <x v="258"/>
    <x v="2"/>
    <d v="2024-11-21T00:00:00"/>
    <x v="0"/>
    <n v="10"/>
    <x v="1"/>
    <x v="1"/>
    <s v="-"/>
    <s v="Yes"/>
    <n v="20"/>
    <n v="15"/>
    <n v="15"/>
  </r>
  <r>
    <n v="3501"/>
    <x v="259"/>
    <x v="1"/>
    <d v="2024-11-22T00:00:00"/>
    <x v="1"/>
    <n v="5"/>
    <x v="0"/>
    <x v="1"/>
    <s v="-"/>
    <s v="No"/>
    <n v="0"/>
    <n v="1"/>
    <n v="4"/>
  </r>
  <r>
    <n v="3502"/>
    <x v="260"/>
    <x v="0"/>
    <d v="2024-11-23T00:00:00"/>
    <x v="0"/>
    <n v="15"/>
    <x v="2"/>
    <x v="0"/>
    <n v="30"/>
    <s v="Yes"/>
    <n v="20"/>
    <n v="7"/>
    <n v="58"/>
  </r>
  <r>
    <n v="3503"/>
    <x v="119"/>
    <x v="2"/>
    <d v="2024-11-24T00:00:00"/>
    <x v="1"/>
    <n v="10"/>
    <x v="0"/>
    <x v="1"/>
    <s v="-"/>
    <s v="Yes"/>
    <n v="20"/>
    <n v="10"/>
    <n v="20"/>
  </r>
  <r>
    <n v="3504"/>
    <x v="261"/>
    <x v="1"/>
    <d v="2024-11-25T00:00:00"/>
    <x v="0"/>
    <n v="5"/>
    <x v="1"/>
    <x v="1"/>
    <s v="-"/>
    <s v="No"/>
    <n v="0"/>
    <n v="0"/>
    <n v="5"/>
  </r>
  <r>
    <n v="3505"/>
    <x v="262"/>
    <x v="0"/>
    <d v="2024-11-26T00:00:00"/>
    <x v="1"/>
    <n v="15"/>
    <x v="0"/>
    <x v="0"/>
    <n v="30"/>
    <s v="Yes"/>
    <n v="20"/>
    <n v="20"/>
    <n v="45"/>
  </r>
  <r>
    <n v="3506"/>
    <x v="263"/>
    <x v="2"/>
    <d v="2024-11-27T00:00:00"/>
    <x v="0"/>
    <n v="10"/>
    <x v="2"/>
    <x v="1"/>
    <s v="-"/>
    <s v="Yes"/>
    <n v="20"/>
    <n v="15"/>
    <n v="15"/>
  </r>
  <r>
    <n v="3507"/>
    <x v="264"/>
    <x v="1"/>
    <d v="2024-11-28T00:00:00"/>
    <x v="1"/>
    <n v="5"/>
    <x v="0"/>
    <x v="1"/>
    <s v="-"/>
    <s v="No"/>
    <n v="0"/>
    <n v="1"/>
    <n v="4"/>
  </r>
  <r>
    <n v="3508"/>
    <x v="265"/>
    <x v="0"/>
    <d v="2024-11-29T00:00:00"/>
    <x v="0"/>
    <n v="15"/>
    <x v="1"/>
    <x v="0"/>
    <n v="30"/>
    <s v="Yes"/>
    <n v="20"/>
    <n v="3"/>
    <n v="62"/>
  </r>
  <r>
    <n v="3509"/>
    <x v="266"/>
    <x v="2"/>
    <d v="2024-11-30T00:00:00"/>
    <x v="1"/>
    <n v="10"/>
    <x v="0"/>
    <x v="1"/>
    <s v="-"/>
    <s v="Yes"/>
    <n v="20"/>
    <n v="10"/>
    <n v="20"/>
  </r>
  <r>
    <n v="3510"/>
    <x v="267"/>
    <x v="1"/>
    <d v="2024-12-01T00:00:00"/>
    <x v="0"/>
    <n v="5"/>
    <x v="2"/>
    <x v="1"/>
    <s v="-"/>
    <s v="No"/>
    <n v="0"/>
    <n v="0"/>
    <n v="5"/>
  </r>
  <r>
    <n v="3511"/>
    <x v="268"/>
    <x v="0"/>
    <d v="2024-12-02T00:00:00"/>
    <x v="1"/>
    <n v="15"/>
    <x v="0"/>
    <x v="0"/>
    <n v="30"/>
    <s v="Yes"/>
    <n v="20"/>
    <n v="15"/>
    <n v="50"/>
  </r>
  <r>
    <n v="3512"/>
    <x v="269"/>
    <x v="2"/>
    <d v="2024-12-03T00:00:00"/>
    <x v="0"/>
    <n v="10"/>
    <x v="1"/>
    <x v="1"/>
    <s v="-"/>
    <s v="Yes"/>
    <n v="20"/>
    <n v="15"/>
    <n v="15"/>
  </r>
  <r>
    <n v="3513"/>
    <x v="270"/>
    <x v="1"/>
    <d v="2024-12-04T00:00:00"/>
    <x v="1"/>
    <n v="5"/>
    <x v="0"/>
    <x v="1"/>
    <s v="-"/>
    <s v="No"/>
    <n v="0"/>
    <n v="1"/>
    <n v="4"/>
  </r>
  <r>
    <n v="3514"/>
    <x v="271"/>
    <x v="0"/>
    <d v="2024-12-05T00:00:00"/>
    <x v="0"/>
    <n v="15"/>
    <x v="2"/>
    <x v="0"/>
    <n v="30"/>
    <s v="Yes"/>
    <n v="20"/>
    <n v="7"/>
    <n v="58"/>
  </r>
  <r>
    <n v="3515"/>
    <x v="130"/>
    <x v="2"/>
    <d v="2024-12-06T00:00:00"/>
    <x v="1"/>
    <n v="10"/>
    <x v="0"/>
    <x v="1"/>
    <s v="-"/>
    <s v="Yes"/>
    <n v="20"/>
    <n v="10"/>
    <n v="20"/>
  </r>
  <r>
    <n v="3516"/>
    <x v="131"/>
    <x v="1"/>
    <d v="2024-12-07T00:00:00"/>
    <x v="0"/>
    <n v="5"/>
    <x v="1"/>
    <x v="1"/>
    <s v="-"/>
    <s v="No"/>
    <n v="0"/>
    <n v="0"/>
    <n v="5"/>
  </r>
  <r>
    <n v="3517"/>
    <x v="181"/>
    <x v="0"/>
    <d v="2024-12-08T00:00:00"/>
    <x v="1"/>
    <n v="15"/>
    <x v="0"/>
    <x v="0"/>
    <n v="30"/>
    <s v="Yes"/>
    <n v="20"/>
    <n v="20"/>
    <n v="45"/>
  </r>
  <r>
    <n v="3518"/>
    <x v="272"/>
    <x v="2"/>
    <d v="2024-12-09T00:00:00"/>
    <x v="0"/>
    <n v="10"/>
    <x v="2"/>
    <x v="1"/>
    <s v="-"/>
    <s v="Yes"/>
    <n v="20"/>
    <n v="12"/>
    <n v="18"/>
  </r>
  <r>
    <n v="3519"/>
    <x v="273"/>
    <x v="1"/>
    <d v="2024-12-10T00:00:00"/>
    <x v="1"/>
    <n v="5"/>
    <x v="0"/>
    <x v="1"/>
    <s v="-"/>
    <s v="No"/>
    <n v="0"/>
    <n v="2"/>
    <n v="3"/>
  </r>
  <r>
    <n v="3520"/>
    <x v="274"/>
    <x v="0"/>
    <d v="2024-12-11T00:00:00"/>
    <x v="0"/>
    <n v="15"/>
    <x v="1"/>
    <x v="0"/>
    <n v="30"/>
    <s v="Yes"/>
    <n v="20"/>
    <n v="5"/>
    <n v="60"/>
  </r>
  <r>
    <n v="3521"/>
    <x v="275"/>
    <x v="2"/>
    <d v="2024-12-12T00:00:00"/>
    <x v="1"/>
    <n v="10"/>
    <x v="0"/>
    <x v="1"/>
    <s v="-"/>
    <s v="Yes"/>
    <n v="20"/>
    <n v="10"/>
    <n v="20"/>
  </r>
  <r>
    <n v="3522"/>
    <x v="276"/>
    <x v="1"/>
    <d v="2024-12-13T00:00:00"/>
    <x v="0"/>
    <n v="5"/>
    <x v="2"/>
    <x v="1"/>
    <s v="-"/>
    <s v="No"/>
    <n v="0"/>
    <n v="0"/>
    <n v="5"/>
  </r>
  <r>
    <n v="3523"/>
    <x v="277"/>
    <x v="0"/>
    <d v="2024-12-14T00:00:00"/>
    <x v="1"/>
    <n v="15"/>
    <x v="0"/>
    <x v="0"/>
    <n v="30"/>
    <s v="Yes"/>
    <n v="20"/>
    <n v="3"/>
    <n v="62"/>
  </r>
  <r>
    <n v="3524"/>
    <x v="278"/>
    <x v="2"/>
    <d v="2024-12-15T00:00:00"/>
    <x v="0"/>
    <n v="10"/>
    <x v="1"/>
    <x v="1"/>
    <s v="-"/>
    <s v="Yes"/>
    <n v="20"/>
    <n v="15"/>
    <n v="15"/>
  </r>
  <r>
    <n v="3525"/>
    <x v="279"/>
    <x v="1"/>
    <d v="2024-12-16T00:00:00"/>
    <x v="1"/>
    <n v="5"/>
    <x v="0"/>
    <x v="1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EC411A-A7C8-4A09-81E9-B871BE66368F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A29:B3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2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762E79-100D-4687-8887-791A44FD353E}" name="tb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A19:B2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75F746-AEC7-4488-96FC-79E8116C3B3D}" name="tb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A11:B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6CF4859C-26ED-40BB-8081-CAE60D05D42D}" sourceName="Subscription Type">
  <pivotTables>
    <pivotTable tabId="3" name="tb_annual_total"/>
    <pivotTable tabId="3" name="tb_easeasonpass_total"/>
    <pivotTable tabId="3" name="Tabela dinâmica1"/>
  </pivotTables>
  <data>
    <tabular pivotCacheId="664130065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D8BECF77-269F-48B3-A73E-1A0D52C489F7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4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3"/>
    <tableColumn id="2" xr3:uid="{53DD39D0-2220-4121-9E9D-4EAA7E151C0F}" name="Name" dataDxfId="12"/>
    <tableColumn id="3" xr3:uid="{4F5FF271-4C57-4BE0-8F2C-F82C8551625C}" name="Plan" dataDxfId="11"/>
    <tableColumn id="4" xr3:uid="{8C17EB93-79B9-4E55-B8F7-BEB82F8253E9}" name="Start Date" dataDxfId="10"/>
    <tableColumn id="5" xr3:uid="{48CEDF9B-1689-482A-A828-5CCE7713264A}" name="Auto Renewal" dataDxfId="9"/>
    <tableColumn id="6" xr3:uid="{78B82374-9AA7-4E38-AE4F-78CDE6C83720}" name="Subscription Price" dataDxfId="8" dataCellStyle="Moeda"/>
    <tableColumn id="7" xr3:uid="{F2433F68-AF33-49D0-B1FB-19A396074EDE}" name="Subscription Type" dataDxfId="7"/>
    <tableColumn id="8" xr3:uid="{FD4D9C95-F6E5-4933-9068-A71FF7DF9343}" name="EA Play Season Pass" dataDxfId="6"/>
    <tableColumn id="13" xr3:uid="{978DD0D2-834E-4CE4-A39B-30976086932F}" name="EA Play Season Pass_x000a_Price" dataDxfId="5" dataCellStyle="Moeda"/>
    <tableColumn id="9" xr3:uid="{6E29F111-C395-4580-9DAD-3407D9E8B1A4}" name="Minecraft Season Pass" dataDxfId="4"/>
    <tableColumn id="10" xr3:uid="{EF544EAA-7F25-4FD5-A10E-8E62804DB9E3}" name="Minecraft Season Pass Price" dataDxfId="3" dataCellStyle="Moeda"/>
    <tableColumn id="11" xr3:uid="{7F6EB64A-1F07-4E48-9F0F-AC7D9DCD26F8}" name="Coupon Value" dataDxfId="2" dataCellStyle="Moeda"/>
    <tableColumn id="12" xr3:uid="{2B04ABC8-DE6F-426E-ADC0-D8AFC68CA58E}" name="Total Value" dataDxfId="1" dataCellStyle="Moeda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A14EAB-EDD7-49B7-B998-2BB70A164ED3}" name="Tabela2" displayName="Tabela2" ref="A3:M36" totalsRowShown="0">
  <autoFilter ref="A3:M36" xr:uid="{AFA14EAB-EDD7-49B7-B998-2BB70A164ED3}"/>
  <tableColumns count="13">
    <tableColumn id="1" xr3:uid="{9CCCE057-C4FA-4650-B9C1-3FE6128B885E}" name="Subscriber ID"/>
    <tableColumn id="2" xr3:uid="{948B9512-683E-4B50-A125-55BB88A79D4B}" name="Name"/>
    <tableColumn id="3" xr3:uid="{026E4247-6A0B-4DD0-9BF1-D6F708342011}" name="Plan"/>
    <tableColumn id="4" xr3:uid="{8AB76FD4-1206-44A7-9A95-2F0E9AE64497}" name="Start Date" dataDxfId="0"/>
    <tableColumn id="5" xr3:uid="{BA62C64E-47F6-45E3-A444-790BECA3B7CA}" name="Auto Renewal"/>
    <tableColumn id="6" xr3:uid="{BDB471CE-37B2-4625-A09A-8B073F5B8233}" name="Subscription Price"/>
    <tableColumn id="7" xr3:uid="{3B650605-4E38-4D46-AA0B-04BFB57EF784}" name="Subscription Type"/>
    <tableColumn id="8" xr3:uid="{88E8725C-05C8-4044-BEBA-688049B42555}" name="EA Play Season Pass"/>
    <tableColumn id="9" xr3:uid="{56D3AE08-BB4C-4959-80BE-B5DA78E5A68A}" name="EA Play Season Pass_x000a_Price"/>
    <tableColumn id="10" xr3:uid="{C9C11FF1-344B-436C-ADAD-4E51547718B1}" name="Minecraft Season Pass"/>
    <tableColumn id="11" xr3:uid="{0D6F6998-27C7-436C-90B1-F195A6DEEBE1}" name="Minecraft Season Pass Price"/>
    <tableColumn id="12" xr3:uid="{C1B63ACC-B82E-4A0B-AA93-ECC81C5BE48C}" name="Coupon Value"/>
    <tableColumn id="13" xr3:uid="{31CD2E2F-EA81-4E13-976B-283B92D4090A}" name="Total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0" zoomScaleNormal="100" workbookViewId="0">
      <selection activeCell="L9" sqref="L9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B35" sqref="B35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A579C-B033-4506-9CF6-617AE183FF2D}">
  <sheetPr>
    <tabColor theme="3" tint="0.749992370372631"/>
  </sheetPr>
  <dimension ref="A1:M36"/>
  <sheetViews>
    <sheetView workbookViewId="0">
      <selection activeCell="B35" sqref="B35"/>
    </sheetView>
  </sheetViews>
  <sheetFormatPr defaultRowHeight="15" x14ac:dyDescent="0.25"/>
  <cols>
    <col min="1" max="1" width="15.5703125" bestFit="1" customWidth="1"/>
    <col min="2" max="2" width="18.85546875" bestFit="1" customWidth="1"/>
    <col min="3" max="3" width="9.28515625" bestFit="1" customWidth="1"/>
    <col min="4" max="4" width="12.28515625" bestFit="1" customWidth="1"/>
    <col min="5" max="5" width="15.7109375" bestFit="1" customWidth="1"/>
    <col min="6" max="6" width="20" bestFit="1" customWidth="1"/>
    <col min="7" max="7" width="19.7109375" bestFit="1" customWidth="1"/>
    <col min="8" max="8" width="21.5703125" bestFit="1" customWidth="1"/>
    <col min="9" max="9" width="27.140625" bestFit="1" customWidth="1"/>
    <col min="10" max="10" width="23.85546875" bestFit="1" customWidth="1"/>
    <col min="11" max="11" width="29" bestFit="1" customWidth="1"/>
    <col min="12" max="12" width="16" bestFit="1" customWidth="1"/>
    <col min="13" max="13" width="13.140625" bestFit="1" customWidth="1"/>
  </cols>
  <sheetData>
    <row r="1" spans="1:13" x14ac:dyDescent="0.25">
      <c r="A1" s="18" t="s">
        <v>323</v>
      </c>
    </row>
    <row r="3" spans="1:13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312</v>
      </c>
      <c r="G3" t="s">
        <v>16</v>
      </c>
      <c r="H3" t="s">
        <v>309</v>
      </c>
      <c r="I3" t="s">
        <v>310</v>
      </c>
      <c r="J3" t="s">
        <v>30</v>
      </c>
      <c r="K3" t="s">
        <v>31</v>
      </c>
      <c r="L3" t="s">
        <v>32</v>
      </c>
      <c r="M3" t="s">
        <v>33</v>
      </c>
    </row>
    <row r="4" spans="1:13" x14ac:dyDescent="0.25">
      <c r="A4">
        <v>3514</v>
      </c>
      <c r="B4" t="s">
        <v>300</v>
      </c>
      <c r="C4" t="s">
        <v>18</v>
      </c>
      <c r="D4" s="17">
        <v>45631</v>
      </c>
      <c r="E4" t="s">
        <v>19</v>
      </c>
      <c r="F4">
        <v>15</v>
      </c>
      <c r="G4" t="s">
        <v>27</v>
      </c>
      <c r="H4" t="s">
        <v>19</v>
      </c>
      <c r="I4">
        <v>30</v>
      </c>
      <c r="J4" t="s">
        <v>19</v>
      </c>
      <c r="K4">
        <v>20</v>
      </c>
      <c r="L4">
        <v>7</v>
      </c>
      <c r="M4">
        <v>58</v>
      </c>
    </row>
    <row r="5" spans="1:13" x14ac:dyDescent="0.25">
      <c r="A5">
        <v>3502</v>
      </c>
      <c r="B5" t="s">
        <v>289</v>
      </c>
      <c r="C5" t="s">
        <v>18</v>
      </c>
      <c r="D5" s="17">
        <v>45619</v>
      </c>
      <c r="E5" t="s">
        <v>19</v>
      </c>
      <c r="F5">
        <v>15</v>
      </c>
      <c r="G5" t="s">
        <v>27</v>
      </c>
      <c r="H5" t="s">
        <v>19</v>
      </c>
      <c r="I5">
        <v>30</v>
      </c>
      <c r="J5" t="s">
        <v>19</v>
      </c>
      <c r="K5">
        <v>20</v>
      </c>
      <c r="L5">
        <v>7</v>
      </c>
      <c r="M5">
        <v>58</v>
      </c>
    </row>
    <row r="6" spans="1:13" x14ac:dyDescent="0.25">
      <c r="A6">
        <v>3493</v>
      </c>
      <c r="B6" t="s">
        <v>280</v>
      </c>
      <c r="C6" t="s">
        <v>18</v>
      </c>
      <c r="D6" s="17">
        <v>45610</v>
      </c>
      <c r="E6" t="s">
        <v>23</v>
      </c>
      <c r="F6">
        <v>15</v>
      </c>
      <c r="G6" t="s">
        <v>27</v>
      </c>
      <c r="H6" t="s">
        <v>19</v>
      </c>
      <c r="I6">
        <v>30</v>
      </c>
      <c r="J6" t="s">
        <v>19</v>
      </c>
      <c r="K6">
        <v>20</v>
      </c>
      <c r="L6">
        <v>20</v>
      </c>
      <c r="M6">
        <v>45</v>
      </c>
    </row>
    <row r="7" spans="1:13" x14ac:dyDescent="0.25">
      <c r="A7">
        <v>3487</v>
      </c>
      <c r="B7" t="s">
        <v>274</v>
      </c>
      <c r="C7" t="s">
        <v>18</v>
      </c>
      <c r="D7" s="17">
        <v>45604</v>
      </c>
      <c r="E7" t="s">
        <v>23</v>
      </c>
      <c r="F7">
        <v>15</v>
      </c>
      <c r="G7" t="s">
        <v>27</v>
      </c>
      <c r="H7" t="s">
        <v>19</v>
      </c>
      <c r="I7">
        <v>30</v>
      </c>
      <c r="J7" t="s">
        <v>19</v>
      </c>
      <c r="K7">
        <v>20</v>
      </c>
      <c r="L7">
        <v>7</v>
      </c>
      <c r="M7">
        <v>58</v>
      </c>
    </row>
    <row r="8" spans="1:13" x14ac:dyDescent="0.25">
      <c r="A8">
        <v>3476</v>
      </c>
      <c r="B8" t="s">
        <v>263</v>
      </c>
      <c r="C8" t="s">
        <v>18</v>
      </c>
      <c r="D8" s="17">
        <v>45593</v>
      </c>
      <c r="E8" t="s">
        <v>19</v>
      </c>
      <c r="F8">
        <v>15</v>
      </c>
      <c r="G8" t="s">
        <v>27</v>
      </c>
      <c r="H8" t="s">
        <v>19</v>
      </c>
      <c r="I8">
        <v>30</v>
      </c>
      <c r="J8" t="s">
        <v>19</v>
      </c>
      <c r="K8">
        <v>20</v>
      </c>
      <c r="L8">
        <v>7</v>
      </c>
      <c r="M8">
        <v>58</v>
      </c>
    </row>
    <row r="9" spans="1:13" x14ac:dyDescent="0.25">
      <c r="A9">
        <v>3464</v>
      </c>
      <c r="B9" t="s">
        <v>252</v>
      </c>
      <c r="C9" t="s">
        <v>18</v>
      </c>
      <c r="D9" s="17">
        <v>45581</v>
      </c>
      <c r="E9" t="s">
        <v>19</v>
      </c>
      <c r="F9">
        <v>15</v>
      </c>
      <c r="G9" t="s">
        <v>27</v>
      </c>
      <c r="H9" t="s">
        <v>19</v>
      </c>
      <c r="I9">
        <v>30</v>
      </c>
      <c r="J9" t="s">
        <v>19</v>
      </c>
      <c r="K9">
        <v>20</v>
      </c>
      <c r="L9">
        <v>7</v>
      </c>
      <c r="M9">
        <v>58</v>
      </c>
    </row>
    <row r="10" spans="1:13" x14ac:dyDescent="0.25">
      <c r="A10">
        <v>3237</v>
      </c>
      <c r="B10" t="s">
        <v>35</v>
      </c>
      <c r="C10" t="s">
        <v>18</v>
      </c>
      <c r="D10" s="17">
        <v>45354</v>
      </c>
      <c r="E10" t="s">
        <v>19</v>
      </c>
      <c r="F10">
        <v>15</v>
      </c>
      <c r="G10" t="s">
        <v>27</v>
      </c>
      <c r="H10" t="s">
        <v>19</v>
      </c>
      <c r="I10">
        <v>30</v>
      </c>
      <c r="J10" t="s">
        <v>19</v>
      </c>
      <c r="K10">
        <v>20</v>
      </c>
      <c r="L10">
        <v>10</v>
      </c>
      <c r="M10">
        <v>55</v>
      </c>
    </row>
    <row r="11" spans="1:13" x14ac:dyDescent="0.25">
      <c r="A11">
        <v>3452</v>
      </c>
      <c r="B11" t="s">
        <v>220</v>
      </c>
      <c r="C11" t="s">
        <v>18</v>
      </c>
      <c r="D11" s="17">
        <v>45569</v>
      </c>
      <c r="E11" t="s">
        <v>19</v>
      </c>
      <c r="F11">
        <v>15</v>
      </c>
      <c r="G11" t="s">
        <v>27</v>
      </c>
      <c r="H11" t="s">
        <v>19</v>
      </c>
      <c r="I11">
        <v>30</v>
      </c>
      <c r="J11" t="s">
        <v>19</v>
      </c>
      <c r="K11">
        <v>20</v>
      </c>
      <c r="L11">
        <v>7</v>
      </c>
      <c r="M11">
        <v>58</v>
      </c>
    </row>
    <row r="12" spans="1:13" x14ac:dyDescent="0.25">
      <c r="A12">
        <v>3443</v>
      </c>
      <c r="B12" t="s">
        <v>235</v>
      </c>
      <c r="C12" t="s">
        <v>18</v>
      </c>
      <c r="D12" s="17">
        <v>45560</v>
      </c>
      <c r="E12" t="s">
        <v>23</v>
      </c>
      <c r="F12">
        <v>15</v>
      </c>
      <c r="G12" t="s">
        <v>27</v>
      </c>
      <c r="H12" t="s">
        <v>19</v>
      </c>
      <c r="I12">
        <v>30</v>
      </c>
      <c r="J12" t="s">
        <v>19</v>
      </c>
      <c r="K12">
        <v>20</v>
      </c>
      <c r="L12">
        <v>20</v>
      </c>
      <c r="M12">
        <v>45</v>
      </c>
    </row>
    <row r="13" spans="1:13" x14ac:dyDescent="0.25">
      <c r="A13">
        <v>3437</v>
      </c>
      <c r="B13" t="s">
        <v>229</v>
      </c>
      <c r="C13" t="s">
        <v>18</v>
      </c>
      <c r="D13" s="17">
        <v>45554</v>
      </c>
      <c r="E13" t="s">
        <v>23</v>
      </c>
      <c r="F13">
        <v>15</v>
      </c>
      <c r="G13" t="s">
        <v>27</v>
      </c>
      <c r="H13" t="s">
        <v>19</v>
      </c>
      <c r="I13">
        <v>30</v>
      </c>
      <c r="J13" t="s">
        <v>19</v>
      </c>
      <c r="K13">
        <v>20</v>
      </c>
      <c r="L13">
        <v>7</v>
      </c>
      <c r="M13">
        <v>58</v>
      </c>
    </row>
    <row r="14" spans="1:13" x14ac:dyDescent="0.25">
      <c r="A14">
        <v>3434</v>
      </c>
      <c r="B14" t="s">
        <v>226</v>
      </c>
      <c r="C14" t="s">
        <v>18</v>
      </c>
      <c r="D14" s="17">
        <v>45551</v>
      </c>
      <c r="E14" t="s">
        <v>19</v>
      </c>
      <c r="F14">
        <v>15</v>
      </c>
      <c r="G14" t="s">
        <v>27</v>
      </c>
      <c r="H14" t="s">
        <v>19</v>
      </c>
      <c r="I14">
        <v>30</v>
      </c>
      <c r="J14" t="s">
        <v>19</v>
      </c>
      <c r="K14">
        <v>20</v>
      </c>
      <c r="L14">
        <v>7</v>
      </c>
      <c r="M14">
        <v>58</v>
      </c>
    </row>
    <row r="15" spans="1:13" x14ac:dyDescent="0.25">
      <c r="A15">
        <v>3422</v>
      </c>
      <c r="B15" t="s">
        <v>216</v>
      </c>
      <c r="C15" t="s">
        <v>18</v>
      </c>
      <c r="D15" s="17">
        <v>45539</v>
      </c>
      <c r="E15" t="s">
        <v>19</v>
      </c>
      <c r="F15">
        <v>15</v>
      </c>
      <c r="G15" t="s">
        <v>27</v>
      </c>
      <c r="H15" t="s">
        <v>19</v>
      </c>
      <c r="I15">
        <v>30</v>
      </c>
      <c r="J15" t="s">
        <v>19</v>
      </c>
      <c r="K15">
        <v>20</v>
      </c>
      <c r="L15">
        <v>7</v>
      </c>
      <c r="M15">
        <v>58</v>
      </c>
    </row>
    <row r="16" spans="1:13" x14ac:dyDescent="0.25">
      <c r="A16">
        <v>3413</v>
      </c>
      <c r="B16" t="s">
        <v>208</v>
      </c>
      <c r="C16" t="s">
        <v>18</v>
      </c>
      <c r="D16" s="17">
        <v>45530</v>
      </c>
      <c r="E16" t="s">
        <v>23</v>
      </c>
      <c r="F16">
        <v>15</v>
      </c>
      <c r="G16" t="s">
        <v>27</v>
      </c>
      <c r="H16" t="s">
        <v>19</v>
      </c>
      <c r="I16">
        <v>30</v>
      </c>
      <c r="J16" t="s">
        <v>19</v>
      </c>
      <c r="K16">
        <v>20</v>
      </c>
      <c r="L16">
        <v>20</v>
      </c>
      <c r="M16">
        <v>45</v>
      </c>
    </row>
    <row r="17" spans="1:13" x14ac:dyDescent="0.25">
      <c r="A17">
        <v>3407</v>
      </c>
      <c r="B17" t="s">
        <v>202</v>
      </c>
      <c r="C17" t="s">
        <v>18</v>
      </c>
      <c r="D17" s="17">
        <v>45524</v>
      </c>
      <c r="E17" t="s">
        <v>23</v>
      </c>
      <c r="F17">
        <v>15</v>
      </c>
      <c r="G17" t="s">
        <v>27</v>
      </c>
      <c r="H17" t="s">
        <v>19</v>
      </c>
      <c r="I17">
        <v>30</v>
      </c>
      <c r="J17" t="s">
        <v>19</v>
      </c>
      <c r="K17">
        <v>20</v>
      </c>
      <c r="L17">
        <v>7</v>
      </c>
      <c r="M17">
        <v>58</v>
      </c>
    </row>
    <row r="18" spans="1:13" x14ac:dyDescent="0.25">
      <c r="A18">
        <v>3394</v>
      </c>
      <c r="B18" t="s">
        <v>190</v>
      </c>
      <c r="C18" t="s">
        <v>18</v>
      </c>
      <c r="D18" s="17">
        <v>45511</v>
      </c>
      <c r="E18" t="s">
        <v>19</v>
      </c>
      <c r="F18">
        <v>15</v>
      </c>
      <c r="G18" t="s">
        <v>27</v>
      </c>
      <c r="H18" t="s">
        <v>19</v>
      </c>
      <c r="I18">
        <v>30</v>
      </c>
      <c r="J18" t="s">
        <v>19</v>
      </c>
      <c r="K18">
        <v>20</v>
      </c>
      <c r="L18">
        <v>7</v>
      </c>
      <c r="M18">
        <v>58</v>
      </c>
    </row>
    <row r="19" spans="1:13" x14ac:dyDescent="0.25">
      <c r="A19">
        <v>3382</v>
      </c>
      <c r="B19" t="s">
        <v>179</v>
      </c>
      <c r="C19" t="s">
        <v>18</v>
      </c>
      <c r="D19" s="17">
        <v>45499</v>
      </c>
      <c r="E19" t="s">
        <v>19</v>
      </c>
      <c r="F19">
        <v>15</v>
      </c>
      <c r="G19" t="s">
        <v>27</v>
      </c>
      <c r="H19" t="s">
        <v>19</v>
      </c>
      <c r="I19">
        <v>30</v>
      </c>
      <c r="J19" t="s">
        <v>19</v>
      </c>
      <c r="K19">
        <v>20</v>
      </c>
      <c r="L19">
        <v>7</v>
      </c>
      <c r="M19">
        <v>58</v>
      </c>
    </row>
    <row r="20" spans="1:13" x14ac:dyDescent="0.25">
      <c r="A20">
        <v>3373</v>
      </c>
      <c r="B20" t="s">
        <v>170</v>
      </c>
      <c r="C20" t="s">
        <v>18</v>
      </c>
      <c r="D20" s="17">
        <v>45490</v>
      </c>
      <c r="E20" t="s">
        <v>23</v>
      </c>
      <c r="F20">
        <v>15</v>
      </c>
      <c r="G20" t="s">
        <v>27</v>
      </c>
      <c r="H20" t="s">
        <v>19</v>
      </c>
      <c r="I20">
        <v>30</v>
      </c>
      <c r="J20" t="s">
        <v>19</v>
      </c>
      <c r="K20">
        <v>20</v>
      </c>
      <c r="L20">
        <v>20</v>
      </c>
      <c r="M20">
        <v>45</v>
      </c>
    </row>
    <row r="21" spans="1:13" x14ac:dyDescent="0.25">
      <c r="A21">
        <v>3248</v>
      </c>
      <c r="B21" t="s">
        <v>46</v>
      </c>
      <c r="C21" t="s">
        <v>18</v>
      </c>
      <c r="D21" s="17">
        <v>45365</v>
      </c>
      <c r="E21" t="s">
        <v>19</v>
      </c>
      <c r="F21">
        <v>15</v>
      </c>
      <c r="G21" t="s">
        <v>27</v>
      </c>
      <c r="H21" t="s">
        <v>19</v>
      </c>
      <c r="I21">
        <v>30</v>
      </c>
      <c r="J21" t="s">
        <v>19</v>
      </c>
      <c r="K21">
        <v>20</v>
      </c>
      <c r="L21">
        <v>7</v>
      </c>
      <c r="M21">
        <v>58</v>
      </c>
    </row>
    <row r="22" spans="1:13" x14ac:dyDescent="0.25">
      <c r="A22">
        <v>3367</v>
      </c>
      <c r="B22" t="s">
        <v>164</v>
      </c>
      <c r="C22" t="s">
        <v>18</v>
      </c>
      <c r="D22" s="17">
        <v>45484</v>
      </c>
      <c r="E22" t="s">
        <v>23</v>
      </c>
      <c r="F22">
        <v>15</v>
      </c>
      <c r="G22" t="s">
        <v>27</v>
      </c>
      <c r="H22" t="s">
        <v>19</v>
      </c>
      <c r="I22">
        <v>30</v>
      </c>
      <c r="J22" t="s">
        <v>19</v>
      </c>
      <c r="K22">
        <v>20</v>
      </c>
      <c r="L22">
        <v>7</v>
      </c>
      <c r="M22">
        <v>58</v>
      </c>
    </row>
    <row r="23" spans="1:13" x14ac:dyDescent="0.25">
      <c r="A23">
        <v>3364</v>
      </c>
      <c r="B23" t="s">
        <v>161</v>
      </c>
      <c r="C23" t="s">
        <v>18</v>
      </c>
      <c r="D23" s="17">
        <v>45481</v>
      </c>
      <c r="E23" t="s">
        <v>19</v>
      </c>
      <c r="F23">
        <v>15</v>
      </c>
      <c r="G23" t="s">
        <v>27</v>
      </c>
      <c r="H23" t="s">
        <v>19</v>
      </c>
      <c r="I23">
        <v>30</v>
      </c>
      <c r="J23" t="s">
        <v>19</v>
      </c>
      <c r="K23">
        <v>20</v>
      </c>
      <c r="L23">
        <v>7</v>
      </c>
      <c r="M23">
        <v>58</v>
      </c>
    </row>
    <row r="24" spans="1:13" x14ac:dyDescent="0.25">
      <c r="A24">
        <v>3352</v>
      </c>
      <c r="B24" t="s">
        <v>149</v>
      </c>
      <c r="C24" t="s">
        <v>18</v>
      </c>
      <c r="D24" s="17">
        <v>45469</v>
      </c>
      <c r="E24" t="s">
        <v>19</v>
      </c>
      <c r="F24">
        <v>15</v>
      </c>
      <c r="G24" t="s">
        <v>27</v>
      </c>
      <c r="H24" t="s">
        <v>19</v>
      </c>
      <c r="I24">
        <v>30</v>
      </c>
      <c r="J24" t="s">
        <v>19</v>
      </c>
      <c r="K24">
        <v>20</v>
      </c>
      <c r="L24">
        <v>7</v>
      </c>
      <c r="M24">
        <v>58</v>
      </c>
    </row>
    <row r="25" spans="1:13" x14ac:dyDescent="0.25">
      <c r="A25">
        <v>3343</v>
      </c>
      <c r="B25" t="s">
        <v>141</v>
      </c>
      <c r="C25" t="s">
        <v>18</v>
      </c>
      <c r="D25" s="17">
        <v>45460</v>
      </c>
      <c r="E25" t="s">
        <v>23</v>
      </c>
      <c r="F25">
        <v>15</v>
      </c>
      <c r="G25" t="s">
        <v>27</v>
      </c>
      <c r="H25" t="s">
        <v>19</v>
      </c>
      <c r="I25">
        <v>30</v>
      </c>
      <c r="J25" t="s">
        <v>19</v>
      </c>
      <c r="K25">
        <v>20</v>
      </c>
      <c r="L25">
        <v>20</v>
      </c>
      <c r="M25">
        <v>45</v>
      </c>
    </row>
    <row r="26" spans="1:13" x14ac:dyDescent="0.25">
      <c r="A26">
        <v>3337</v>
      </c>
      <c r="B26" t="s">
        <v>135</v>
      </c>
      <c r="C26" t="s">
        <v>18</v>
      </c>
      <c r="D26" s="17">
        <v>45454</v>
      </c>
      <c r="E26" t="s">
        <v>23</v>
      </c>
      <c r="F26">
        <v>15</v>
      </c>
      <c r="G26" t="s">
        <v>27</v>
      </c>
      <c r="H26" t="s">
        <v>19</v>
      </c>
      <c r="I26">
        <v>30</v>
      </c>
      <c r="J26" t="s">
        <v>19</v>
      </c>
      <c r="K26">
        <v>20</v>
      </c>
      <c r="L26">
        <v>7</v>
      </c>
      <c r="M26">
        <v>58</v>
      </c>
    </row>
    <row r="27" spans="1:13" x14ac:dyDescent="0.25">
      <c r="A27">
        <v>3333</v>
      </c>
      <c r="B27" t="s">
        <v>131</v>
      </c>
      <c r="C27" t="s">
        <v>18</v>
      </c>
      <c r="D27" s="17">
        <v>45450</v>
      </c>
      <c r="E27" t="s">
        <v>19</v>
      </c>
      <c r="F27">
        <v>15</v>
      </c>
      <c r="G27" t="s">
        <v>27</v>
      </c>
      <c r="H27" t="s">
        <v>19</v>
      </c>
      <c r="I27">
        <v>30</v>
      </c>
      <c r="J27" t="s">
        <v>19</v>
      </c>
      <c r="K27">
        <v>20</v>
      </c>
      <c r="L27">
        <v>20</v>
      </c>
      <c r="M27">
        <v>45</v>
      </c>
    </row>
    <row r="28" spans="1:13" x14ac:dyDescent="0.25">
      <c r="A28">
        <v>3324</v>
      </c>
      <c r="B28" t="s">
        <v>122</v>
      </c>
      <c r="C28" t="s">
        <v>18</v>
      </c>
      <c r="D28" s="17">
        <v>45441</v>
      </c>
      <c r="E28" t="s">
        <v>23</v>
      </c>
      <c r="F28">
        <v>15</v>
      </c>
      <c r="G28" t="s">
        <v>27</v>
      </c>
      <c r="H28" t="s">
        <v>19</v>
      </c>
      <c r="I28">
        <v>30</v>
      </c>
      <c r="J28" t="s">
        <v>19</v>
      </c>
      <c r="K28">
        <v>20</v>
      </c>
      <c r="L28">
        <v>20</v>
      </c>
      <c r="M28">
        <v>45</v>
      </c>
    </row>
    <row r="29" spans="1:13" x14ac:dyDescent="0.25">
      <c r="A29">
        <v>3312</v>
      </c>
      <c r="B29" t="s">
        <v>110</v>
      </c>
      <c r="C29" t="s">
        <v>18</v>
      </c>
      <c r="D29" s="17">
        <v>45429</v>
      </c>
      <c r="E29" t="s">
        <v>23</v>
      </c>
      <c r="F29">
        <v>15</v>
      </c>
      <c r="G29" t="s">
        <v>27</v>
      </c>
      <c r="H29" t="s">
        <v>19</v>
      </c>
      <c r="I29">
        <v>30</v>
      </c>
      <c r="J29" t="s">
        <v>19</v>
      </c>
      <c r="K29">
        <v>20</v>
      </c>
      <c r="L29">
        <v>7</v>
      </c>
      <c r="M29">
        <v>58</v>
      </c>
    </row>
    <row r="30" spans="1:13" x14ac:dyDescent="0.25">
      <c r="A30">
        <v>3303</v>
      </c>
      <c r="B30" t="s">
        <v>101</v>
      </c>
      <c r="C30" t="s">
        <v>18</v>
      </c>
      <c r="D30" s="17">
        <v>45420</v>
      </c>
      <c r="E30" t="s">
        <v>19</v>
      </c>
      <c r="F30">
        <v>15</v>
      </c>
      <c r="G30" t="s">
        <v>27</v>
      </c>
      <c r="H30" t="s">
        <v>19</v>
      </c>
      <c r="I30">
        <v>30</v>
      </c>
      <c r="J30" t="s">
        <v>19</v>
      </c>
      <c r="K30">
        <v>20</v>
      </c>
      <c r="L30">
        <v>20</v>
      </c>
      <c r="M30">
        <v>45</v>
      </c>
    </row>
    <row r="31" spans="1:13" x14ac:dyDescent="0.25">
      <c r="A31">
        <v>3297</v>
      </c>
      <c r="B31" t="s">
        <v>95</v>
      </c>
      <c r="C31" t="s">
        <v>18</v>
      </c>
      <c r="D31" s="17">
        <v>45414</v>
      </c>
      <c r="E31" t="s">
        <v>19</v>
      </c>
      <c r="F31">
        <v>15</v>
      </c>
      <c r="G31" t="s">
        <v>27</v>
      </c>
      <c r="H31" t="s">
        <v>19</v>
      </c>
      <c r="I31">
        <v>30</v>
      </c>
      <c r="J31" t="s">
        <v>19</v>
      </c>
      <c r="K31">
        <v>20</v>
      </c>
      <c r="L31">
        <v>7</v>
      </c>
      <c r="M31">
        <v>58</v>
      </c>
    </row>
    <row r="32" spans="1:13" x14ac:dyDescent="0.25">
      <c r="A32">
        <v>3294</v>
      </c>
      <c r="B32" t="s">
        <v>92</v>
      </c>
      <c r="C32" t="s">
        <v>18</v>
      </c>
      <c r="D32" s="17">
        <v>45411</v>
      </c>
      <c r="E32" t="s">
        <v>19</v>
      </c>
      <c r="F32">
        <v>15</v>
      </c>
      <c r="G32" t="s">
        <v>27</v>
      </c>
      <c r="H32" t="s">
        <v>19</v>
      </c>
      <c r="I32">
        <v>30</v>
      </c>
      <c r="J32" t="s">
        <v>19</v>
      </c>
      <c r="K32">
        <v>20</v>
      </c>
      <c r="L32">
        <v>20</v>
      </c>
      <c r="M32">
        <v>45</v>
      </c>
    </row>
    <row r="33" spans="1:13" x14ac:dyDescent="0.25">
      <c r="A33">
        <v>3260</v>
      </c>
      <c r="B33" t="s">
        <v>58</v>
      </c>
      <c r="C33" t="s">
        <v>18</v>
      </c>
      <c r="D33" s="17">
        <v>45377</v>
      </c>
      <c r="E33" t="s">
        <v>19</v>
      </c>
      <c r="F33">
        <v>15</v>
      </c>
      <c r="G33" t="s">
        <v>27</v>
      </c>
      <c r="H33" t="s">
        <v>19</v>
      </c>
      <c r="I33">
        <v>30</v>
      </c>
      <c r="J33" t="s">
        <v>19</v>
      </c>
      <c r="K33">
        <v>20</v>
      </c>
      <c r="L33">
        <v>7</v>
      </c>
      <c r="M33">
        <v>58</v>
      </c>
    </row>
    <row r="34" spans="1:13" x14ac:dyDescent="0.25">
      <c r="A34">
        <v>3282</v>
      </c>
      <c r="B34" t="s">
        <v>80</v>
      </c>
      <c r="C34" t="s">
        <v>18</v>
      </c>
      <c r="D34" s="17">
        <v>45399</v>
      </c>
      <c r="E34" t="s">
        <v>19</v>
      </c>
      <c r="F34">
        <v>15</v>
      </c>
      <c r="G34" t="s">
        <v>27</v>
      </c>
      <c r="H34" t="s">
        <v>19</v>
      </c>
      <c r="I34">
        <v>30</v>
      </c>
      <c r="J34" t="s">
        <v>19</v>
      </c>
      <c r="K34">
        <v>20</v>
      </c>
      <c r="L34">
        <v>7</v>
      </c>
      <c r="M34">
        <v>58</v>
      </c>
    </row>
    <row r="35" spans="1:13" x14ac:dyDescent="0.25">
      <c r="A35">
        <v>3273</v>
      </c>
      <c r="B35" t="s">
        <v>71</v>
      </c>
      <c r="C35" t="s">
        <v>18</v>
      </c>
      <c r="D35" s="17">
        <v>45390</v>
      </c>
      <c r="E35" t="s">
        <v>23</v>
      </c>
      <c r="F35">
        <v>15</v>
      </c>
      <c r="G35" t="s">
        <v>27</v>
      </c>
      <c r="H35" t="s">
        <v>19</v>
      </c>
      <c r="I35">
        <v>30</v>
      </c>
      <c r="J35" t="s">
        <v>19</v>
      </c>
      <c r="K35">
        <v>20</v>
      </c>
      <c r="L35">
        <v>20</v>
      </c>
      <c r="M35">
        <v>45</v>
      </c>
    </row>
    <row r="36" spans="1:13" x14ac:dyDescent="0.25">
      <c r="A36">
        <v>3267</v>
      </c>
      <c r="B36" t="s">
        <v>65</v>
      </c>
      <c r="C36" t="s">
        <v>18</v>
      </c>
      <c r="D36" s="17">
        <v>45384</v>
      </c>
      <c r="E36" t="s">
        <v>23</v>
      </c>
      <c r="F36">
        <v>15</v>
      </c>
      <c r="G36" t="s">
        <v>27</v>
      </c>
      <c r="H36" t="s">
        <v>19</v>
      </c>
      <c r="I36">
        <v>30</v>
      </c>
      <c r="J36" t="s">
        <v>19</v>
      </c>
      <c r="K36">
        <v>20</v>
      </c>
      <c r="L36">
        <v>7</v>
      </c>
      <c r="M36">
        <v>58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:F34"/>
  <sheetViews>
    <sheetView showGridLines="0" topLeftCell="A16" workbookViewId="0">
      <selection activeCell="B35" sqref="B35"/>
    </sheetView>
  </sheetViews>
  <sheetFormatPr defaultRowHeight="15" x14ac:dyDescent="0.25"/>
  <cols>
    <col min="1" max="1" width="18.42578125" bestFit="1" customWidth="1"/>
    <col min="2" max="2" width="35.140625" bestFit="1" customWidth="1"/>
    <col min="3" max="3" width="18.42578125" bestFit="1" customWidth="1"/>
    <col min="4" max="4" width="30.5703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0" width="15.7109375" customWidth="1"/>
    <col min="11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1" spans="1:6" x14ac:dyDescent="0.25">
      <c r="A1" s="15"/>
      <c r="B1" s="15" t="s">
        <v>318</v>
      </c>
      <c r="C1" s="15"/>
      <c r="D1" s="15"/>
      <c r="E1" s="15"/>
      <c r="F1" s="15"/>
    </row>
    <row r="3" spans="1:6" x14ac:dyDescent="0.25">
      <c r="A3" t="s">
        <v>317</v>
      </c>
    </row>
    <row r="4" spans="1:6" x14ac:dyDescent="0.25">
      <c r="A4" t="s">
        <v>316</v>
      </c>
    </row>
    <row r="5" spans="1:6" x14ac:dyDescent="0.25">
      <c r="A5" t="s">
        <v>320</v>
      </c>
    </row>
    <row r="6" spans="1:6" x14ac:dyDescent="0.25">
      <c r="A6" t="s">
        <v>322</v>
      </c>
    </row>
    <row r="9" spans="1:6" x14ac:dyDescent="0.25">
      <c r="A9" s="12" t="s">
        <v>16</v>
      </c>
      <c r="B9" t="s">
        <v>27</v>
      </c>
    </row>
    <row r="11" spans="1:6" x14ac:dyDescent="0.25">
      <c r="A11" s="12" t="s">
        <v>314</v>
      </c>
      <c r="B11" t="s">
        <v>315</v>
      </c>
    </row>
    <row r="12" spans="1:6" x14ac:dyDescent="0.25">
      <c r="A12" s="13" t="s">
        <v>23</v>
      </c>
      <c r="B12" s="14">
        <v>806</v>
      </c>
    </row>
    <row r="13" spans="1:6" x14ac:dyDescent="0.25">
      <c r="A13" s="13" t="s">
        <v>19</v>
      </c>
      <c r="B13" s="14">
        <v>1502</v>
      </c>
    </row>
    <row r="14" spans="1:6" x14ac:dyDescent="0.25">
      <c r="A14" s="13" t="s">
        <v>313</v>
      </c>
      <c r="B14" s="14">
        <v>2308</v>
      </c>
    </row>
    <row r="17" spans="1:2" x14ac:dyDescent="0.25">
      <c r="A17" s="12" t="s">
        <v>16</v>
      </c>
      <c r="B17" t="s">
        <v>27</v>
      </c>
    </row>
    <row r="19" spans="1:2" x14ac:dyDescent="0.25">
      <c r="A19" s="12" t="s">
        <v>314</v>
      </c>
      <c r="B19" t="s">
        <v>321</v>
      </c>
    </row>
    <row r="20" spans="1:2" x14ac:dyDescent="0.25">
      <c r="A20" s="13" t="s">
        <v>22</v>
      </c>
      <c r="B20" s="19">
        <v>0</v>
      </c>
    </row>
    <row r="21" spans="1:2" x14ac:dyDescent="0.25">
      <c r="A21" s="13" t="s">
        <v>26</v>
      </c>
      <c r="B21" s="19">
        <v>0</v>
      </c>
    </row>
    <row r="22" spans="1:2" x14ac:dyDescent="0.25">
      <c r="A22" s="13" t="s">
        <v>18</v>
      </c>
      <c r="B22" s="19">
        <v>990</v>
      </c>
    </row>
    <row r="23" spans="1:2" x14ac:dyDescent="0.25">
      <c r="A23" s="13" t="s">
        <v>313</v>
      </c>
      <c r="B23" s="19">
        <v>990</v>
      </c>
    </row>
    <row r="24" spans="1:2" x14ac:dyDescent="0.25">
      <c r="B24" s="16">
        <f>GETPIVOTDATA("EA Play Season Pass
Price",$A$19)</f>
        <v>990</v>
      </c>
    </row>
    <row r="27" spans="1:2" x14ac:dyDescent="0.25">
      <c r="A27" s="12" t="s">
        <v>16</v>
      </c>
      <c r="B27" t="s">
        <v>27</v>
      </c>
    </row>
    <row r="29" spans="1:2" x14ac:dyDescent="0.25">
      <c r="A29" s="12" t="s">
        <v>314</v>
      </c>
      <c r="B29" t="s">
        <v>324</v>
      </c>
    </row>
    <row r="30" spans="1:2" x14ac:dyDescent="0.25">
      <c r="A30" s="13" t="s">
        <v>22</v>
      </c>
      <c r="B30" s="14">
        <v>0</v>
      </c>
    </row>
    <row r="31" spans="1:2" x14ac:dyDescent="0.25">
      <c r="A31" s="13" t="s">
        <v>26</v>
      </c>
      <c r="B31" s="14">
        <v>480</v>
      </c>
    </row>
    <row r="32" spans="1:2" x14ac:dyDescent="0.25">
      <c r="A32" s="13" t="s">
        <v>18</v>
      </c>
      <c r="B32" s="14">
        <v>660</v>
      </c>
    </row>
    <row r="33" spans="1:2" x14ac:dyDescent="0.25">
      <c r="A33" s="13" t="s">
        <v>313</v>
      </c>
      <c r="B33" s="14">
        <v>1140</v>
      </c>
    </row>
    <row r="34" spans="1:2" x14ac:dyDescent="0.25">
      <c r="B34" s="16">
        <f>GETPIVOTDATA("Minecraft Season Pass Price",$A$29)</f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U51"/>
  <sheetViews>
    <sheetView showGridLines="0" showRowColHeaders="0" tabSelected="1" zoomScale="80" zoomScaleNormal="80" workbookViewId="0">
      <selection activeCell="B19" sqref="B19"/>
    </sheetView>
  </sheetViews>
  <sheetFormatPr defaultRowHeight="15" x14ac:dyDescent="0.25"/>
  <cols>
    <col min="1" max="1" width="27.28515625" style="5" customWidth="1"/>
    <col min="2" max="2" width="3.5703125" customWidth="1"/>
    <col min="12" max="12" width="6.5703125" customWidth="1"/>
  </cols>
  <sheetData>
    <row r="2" spans="1:21" ht="39" customHeight="1" x14ac:dyDescent="0.25">
      <c r="B2" s="22" t="s">
        <v>319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ht="39" customHeight="1" thickBot="1" x14ac:dyDescent="0.3"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</row>
    <row r="4" spans="1:21" s="7" customFormat="1" ht="8.25" customHeight="1" thickTop="1" x14ac:dyDescent="0.25">
      <c r="A4" s="5"/>
    </row>
    <row r="5" spans="1:21" s="7" customFormat="1" ht="7.5" customHeight="1" x14ac:dyDescent="0.25">
      <c r="A5" s="5"/>
    </row>
    <row r="6" spans="1:21" s="7" customFormat="1" ht="10.5" customHeight="1" x14ac:dyDescent="0.25">
      <c r="A6" s="5"/>
    </row>
    <row r="7" spans="1:21" s="7" customFormat="1" ht="9.75" customHeight="1" x14ac:dyDescent="0.25">
      <c r="A7" s="5"/>
    </row>
    <row r="8" spans="1:21" s="7" customFormat="1" ht="33" customHeight="1" x14ac:dyDescent="0.25">
      <c r="A8" s="5"/>
    </row>
    <row r="9" spans="1:21" s="7" customFormat="1" x14ac:dyDescent="0.25">
      <c r="A9" s="5"/>
    </row>
    <row r="10" spans="1:21" s="7" customFormat="1" x14ac:dyDescent="0.25">
      <c r="A10" s="5"/>
    </row>
    <row r="11" spans="1:21" s="7" customFormat="1" x14ac:dyDescent="0.25">
      <c r="A11" s="5"/>
    </row>
    <row r="12" spans="1:21" s="7" customFormat="1" x14ac:dyDescent="0.25">
      <c r="A12" s="5"/>
    </row>
    <row r="13" spans="1:21" s="7" customFormat="1" x14ac:dyDescent="0.25">
      <c r="A13" s="5"/>
    </row>
    <row r="14" spans="1:21" s="7" customFormat="1" x14ac:dyDescent="0.25">
      <c r="A14" s="5"/>
    </row>
    <row r="15" spans="1:21" s="7" customFormat="1" x14ac:dyDescent="0.25">
      <c r="A15" s="5"/>
    </row>
    <row r="16" spans="1:21" s="7" customFormat="1" x14ac:dyDescent="0.25">
      <c r="A16" s="5"/>
    </row>
    <row r="17" spans="1:1" s="7" customFormat="1" x14ac:dyDescent="0.25">
      <c r="A17" s="5"/>
    </row>
    <row r="18" spans="1:1" s="7" customFormat="1" x14ac:dyDescent="0.25">
      <c r="A18" s="5"/>
    </row>
    <row r="19" spans="1:1" s="7" customFormat="1" x14ac:dyDescent="0.25">
      <c r="A19" s="5"/>
    </row>
    <row r="20" spans="1:1" s="7" customFormat="1" x14ac:dyDescent="0.25">
      <c r="A20" s="5"/>
    </row>
    <row r="21" spans="1:1" s="7" customFormat="1" x14ac:dyDescent="0.25">
      <c r="A21" s="5"/>
    </row>
    <row r="22" spans="1:1" s="7" customFormat="1" x14ac:dyDescent="0.25">
      <c r="A22" s="5"/>
    </row>
    <row r="23" spans="1:1" s="7" customFormat="1" x14ac:dyDescent="0.25">
      <c r="A23" s="23" t="s">
        <v>325</v>
      </c>
    </row>
    <row r="24" spans="1:1" s="7" customFormat="1" x14ac:dyDescent="0.25">
      <c r="A24" s="23" t="s">
        <v>326</v>
      </c>
    </row>
    <row r="25" spans="1:1" s="7" customFormat="1" x14ac:dyDescent="0.25">
      <c r="A25" s="5"/>
    </row>
    <row r="26" spans="1:1" s="7" customFormat="1" x14ac:dyDescent="0.25">
      <c r="A26" s="5"/>
    </row>
    <row r="27" spans="1:1" s="7" customFormat="1" x14ac:dyDescent="0.25">
      <c r="A27" s="5"/>
    </row>
    <row r="28" spans="1:1" s="7" customFormat="1" x14ac:dyDescent="0.25">
      <c r="A28" s="5"/>
    </row>
    <row r="29" spans="1:1" s="7" customFormat="1" x14ac:dyDescent="0.25">
      <c r="A29" s="5"/>
    </row>
    <row r="30" spans="1:1" s="7" customFormat="1" x14ac:dyDescent="0.25">
      <c r="A30" s="5"/>
    </row>
    <row r="31" spans="1:1" s="7" customFormat="1" x14ac:dyDescent="0.25">
      <c r="A31" s="5"/>
    </row>
    <row r="32" spans="1:1" s="7" customFormat="1" x14ac:dyDescent="0.25">
      <c r="A32" s="5"/>
    </row>
    <row r="33" spans="1:1" s="7" customFormat="1" x14ac:dyDescent="0.25">
      <c r="A33" s="5"/>
    </row>
    <row r="34" spans="1:1" s="7" customFormat="1" x14ac:dyDescent="0.25">
      <c r="A34" s="5"/>
    </row>
    <row r="35" spans="1:1" s="7" customFormat="1" x14ac:dyDescent="0.25">
      <c r="A35" s="5"/>
    </row>
    <row r="36" spans="1:1" s="7" customFormat="1" x14ac:dyDescent="0.25">
      <c r="A36" s="5"/>
    </row>
    <row r="37" spans="1:1" s="7" customFormat="1" x14ac:dyDescent="0.25">
      <c r="A37" s="5"/>
    </row>
    <row r="38" spans="1:1" s="7" customFormat="1" x14ac:dyDescent="0.25">
      <c r="A38" s="5"/>
    </row>
    <row r="39" spans="1:1" s="7" customFormat="1" x14ac:dyDescent="0.25">
      <c r="A39" s="5"/>
    </row>
    <row r="40" spans="1:1" s="7" customFormat="1" x14ac:dyDescent="0.25">
      <c r="A40" s="5"/>
    </row>
    <row r="41" spans="1:1" s="7" customFormat="1" x14ac:dyDescent="0.25">
      <c r="A41" s="5"/>
    </row>
    <row r="42" spans="1:1" s="7" customFormat="1" x14ac:dyDescent="0.25">
      <c r="A42" s="5"/>
    </row>
    <row r="43" spans="1:1" s="7" customFormat="1" x14ac:dyDescent="0.25">
      <c r="A43" s="5"/>
    </row>
    <row r="44" spans="1:1" s="7" customFormat="1" x14ac:dyDescent="0.25">
      <c r="A44" s="5"/>
    </row>
    <row r="45" spans="1:1" s="7" customFormat="1" x14ac:dyDescent="0.25">
      <c r="A45" s="5"/>
    </row>
    <row r="46" spans="1:1" s="7" customFormat="1" x14ac:dyDescent="0.25">
      <c r="A46" s="5"/>
    </row>
    <row r="47" spans="1:1" s="7" customFormat="1" x14ac:dyDescent="0.25">
      <c r="A47" s="5"/>
    </row>
    <row r="48" spans="1:1" s="7" customFormat="1" x14ac:dyDescent="0.25">
      <c r="A48" s="5"/>
    </row>
    <row r="49" spans="1:1" s="7" customFormat="1" x14ac:dyDescent="0.25">
      <c r="A49" s="5"/>
    </row>
    <row r="50" spans="1:1" s="7" customFormat="1" x14ac:dyDescent="0.25">
      <c r="A50" s="5"/>
    </row>
    <row r="51" spans="1:1" s="7" customFormat="1" x14ac:dyDescent="0.25">
      <c r="A51" s="5"/>
    </row>
  </sheetData>
  <mergeCells count="1">
    <mergeCell ref="B2:U3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A̳ssets</vt:lpstr>
      <vt:lpstr>B̳ases</vt:lpstr>
      <vt:lpstr>Detalhes1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Ederson .</cp:lastModifiedBy>
  <dcterms:created xsi:type="dcterms:W3CDTF">2024-12-19T13:13:10Z</dcterms:created>
  <dcterms:modified xsi:type="dcterms:W3CDTF">2025-12-06T00:25:06Z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